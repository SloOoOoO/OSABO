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always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ner9010206\PROJ\Qual_TMP\03_Listen und Aufstellungen\"/>
    </mc:Choice>
  </mc:AlternateContent>
  <xr:revisionPtr revIDLastSave="0" documentId="13_ncr:1_{B605B84E-AE42-4D7A-B579-6CBCD9B08DE9}" xr6:coauthVersionLast="47" xr6:coauthVersionMax="47" xr10:uidLastSave="{00000000-0000-0000-0000-000000000000}"/>
  <bookViews>
    <workbookView xWindow="28680" yWindow="-120" windowWidth="29040" windowHeight="17520" tabRatio="800" xr2:uid="{00000000-000D-0000-FFFF-FFFF00000000}"/>
  </bookViews>
  <sheets>
    <sheet name="Handmessplätze 09.08.2023" sheetId="20" r:id="rId1"/>
    <sheet name="Post Prozess im Einsatz" sheetId="21" r:id="rId2"/>
    <sheet name="Handmessplätz &lt; 2019" sheetId="17" r:id="rId3"/>
    <sheet name="Handmessplätze MTX" sheetId="19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</externalReferences>
  <definedNames>
    <definedName name="_xlnm._FilterDatabase" localSheetId="2" hidden="1">'Handmessplätz &lt; 2019'!$A$1:$AA$260</definedName>
    <definedName name="_xlnm._FilterDatabase" localSheetId="0" hidden="1">'Handmessplätze 09.08.2023'!$A$1:$AB$171</definedName>
    <definedName name="_xlnm._FilterDatabase" localSheetId="3" hidden="1">'Handmessplätze MTX'!$A$1:$L$43</definedName>
    <definedName name="Datum">#REF!</definedName>
    <definedName name="_xlnm.Print_Area" localSheetId="2">'Handmessplätz &lt; 2019'!$A$1:$AA$231</definedName>
    <definedName name="_xlnm.Print_Area" localSheetId="0">'Handmessplätze 09.08.2023'!$A$1:$AB$159</definedName>
    <definedName name="_xlnm.Print_Area" localSheetId="3">'Handmessplätze MTX'!$A$1:$M$43</definedName>
    <definedName name="_xlnm.Print_Titles" localSheetId="2">'Handmessplätz &lt; 2019'!$1:$2</definedName>
    <definedName name="_xlnm.Print_Titles" localSheetId="0">'Handmessplätze 09.08.2023'!$1:$2</definedName>
    <definedName name="_xlnm.Print_Titles" localSheetId="3">'Handmessplätze MTX'!$1:$2</definedName>
    <definedName name="Remote_Zugriff" localSheetId="0">'Handmessplätze 09.08.2023'!#REF!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34" i="17" l="1"/>
  <c r="U234" i="17"/>
  <c r="V64" i="17"/>
  <c r="U64" i="17"/>
  <c r="V226" i="17"/>
  <c r="U226" i="17"/>
  <c r="U177" i="17"/>
  <c r="V177" i="17"/>
  <c r="H49" i="19"/>
  <c r="V219" i="17"/>
  <c r="U218" i="17"/>
  <c r="V218" i="17"/>
  <c r="V208" i="17"/>
  <c r="U208" i="17"/>
  <c r="V207" i="17"/>
  <c r="U207" i="17"/>
  <c r="V87" i="17"/>
  <c r="V229" i="17"/>
  <c r="U229" i="17"/>
  <c r="V202" i="17"/>
  <c r="U202" i="17"/>
  <c r="U197" i="17"/>
  <c r="U196" i="17"/>
  <c r="V197" i="17"/>
  <c r="V196" i="17"/>
  <c r="V195" i="17"/>
  <c r="U195" i="17"/>
  <c r="V194" i="17"/>
  <c r="V193" i="17"/>
  <c r="U194" i="17"/>
  <c r="U193" i="17"/>
  <c r="V122" i="17"/>
  <c r="U122" i="17"/>
  <c r="V8" i="17"/>
  <c r="U8" i="17"/>
  <c r="V141" i="17"/>
  <c r="U141" i="17"/>
  <c r="U87" i="17"/>
  <c r="B255" i="17"/>
  <c r="V192" i="17"/>
  <c r="U192" i="17"/>
  <c r="V36" i="17"/>
  <c r="U36" i="17"/>
  <c r="U37" i="17"/>
  <c r="V90" i="17"/>
  <c r="U90" i="17"/>
  <c r="V191" i="17"/>
  <c r="U191" i="17"/>
  <c r="V165" i="17"/>
  <c r="U165" i="17"/>
  <c r="U232" i="17"/>
  <c r="V174" i="17"/>
  <c r="U174" i="17"/>
  <c r="V175" i="17"/>
  <c r="U175" i="17"/>
  <c r="V176" i="17"/>
  <c r="U176" i="17"/>
  <c r="V32" i="17"/>
  <c r="U32" i="17"/>
  <c r="V173" i="17"/>
  <c r="U173" i="17"/>
  <c r="V162" i="17"/>
  <c r="U162" i="17"/>
  <c r="V9" i="17"/>
  <c r="V172" i="17"/>
  <c r="U172" i="17"/>
  <c r="V170" i="17"/>
  <c r="U170" i="17"/>
  <c r="V171" i="17"/>
  <c r="U171" i="17"/>
  <c r="V144" i="17"/>
  <c r="U144" i="17"/>
  <c r="V168" i="17"/>
  <c r="U38" i="17"/>
  <c r="V38" i="17"/>
  <c r="V37" i="17"/>
  <c r="U35" i="17"/>
  <c r="V35" i="17"/>
  <c r="U34" i="17"/>
  <c r="V34" i="17"/>
  <c r="U33" i="17"/>
  <c r="V33" i="17"/>
  <c r="U31" i="17"/>
  <c r="V31" i="17"/>
  <c r="U30" i="17"/>
  <c r="V30" i="17"/>
  <c r="U29" i="17"/>
  <c r="V29" i="17"/>
  <c r="U28" i="17"/>
  <c r="V28" i="17"/>
  <c r="U27" i="17"/>
  <c r="V27" i="17"/>
  <c r="U26" i="17"/>
  <c r="V26" i="17"/>
  <c r="U24" i="17"/>
  <c r="V24" i="17"/>
  <c r="U23" i="17"/>
  <c r="V23" i="17"/>
  <c r="U22" i="17"/>
  <c r="V22" i="17"/>
  <c r="U21" i="17"/>
  <c r="V21" i="17"/>
  <c r="U20" i="17"/>
  <c r="V20" i="17"/>
  <c r="U19" i="17"/>
  <c r="V19" i="17"/>
  <c r="U18" i="17"/>
  <c r="V18" i="17"/>
  <c r="U17" i="17"/>
  <c r="V17" i="17"/>
  <c r="U16" i="17"/>
  <c r="V16" i="17"/>
  <c r="U15" i="17"/>
  <c r="V15" i="17"/>
  <c r="U14" i="17"/>
  <c r="V14" i="17"/>
  <c r="U13" i="17"/>
  <c r="V13" i="17"/>
  <c r="U12" i="17"/>
  <c r="V12" i="17"/>
  <c r="U11" i="17"/>
  <c r="V11" i="17"/>
  <c r="V10" i="17"/>
  <c r="U7" i="17"/>
  <c r="V7" i="17"/>
  <c r="U6" i="17"/>
  <c r="V6" i="17"/>
  <c r="U5" i="17"/>
  <c r="V5" i="17"/>
  <c r="U4" i="17"/>
  <c r="V4" i="17"/>
  <c r="U3" i="17"/>
  <c r="V3" i="17"/>
  <c r="U131" i="17"/>
  <c r="V131" i="17"/>
  <c r="U130" i="17"/>
  <c r="V130" i="17"/>
  <c r="U129" i="17"/>
  <c r="V129" i="17"/>
  <c r="U128" i="17"/>
  <c r="V128" i="17"/>
  <c r="U127" i="17"/>
  <c r="V127" i="17"/>
  <c r="U126" i="17"/>
  <c r="V126" i="17"/>
  <c r="U125" i="17"/>
  <c r="V125" i="17"/>
  <c r="U124" i="17"/>
  <c r="V124" i="17"/>
  <c r="U123" i="17"/>
  <c r="V123" i="17"/>
  <c r="U121" i="17"/>
  <c r="V121" i="17"/>
  <c r="U120" i="17"/>
  <c r="V120" i="17"/>
  <c r="U119" i="17"/>
  <c r="V119" i="17"/>
  <c r="U118" i="17"/>
  <c r="V118" i="17"/>
  <c r="U117" i="17"/>
  <c r="V117" i="17"/>
  <c r="U116" i="17"/>
  <c r="V116" i="17"/>
  <c r="U115" i="17"/>
  <c r="V115" i="17"/>
  <c r="U114" i="17"/>
  <c r="V114" i="17"/>
  <c r="U113" i="17"/>
  <c r="V113" i="17"/>
  <c r="U112" i="17"/>
  <c r="V112" i="17"/>
  <c r="U111" i="17"/>
  <c r="V111" i="17"/>
  <c r="U110" i="17"/>
  <c r="V110" i="17"/>
  <c r="U109" i="17"/>
  <c r="V109" i="17"/>
  <c r="V108" i="17"/>
  <c r="U108" i="17"/>
  <c r="U107" i="17"/>
  <c r="V107" i="17"/>
  <c r="U106" i="17"/>
  <c r="V106" i="17"/>
  <c r="U105" i="17"/>
  <c r="V105" i="17"/>
  <c r="U104" i="17"/>
  <c r="V104" i="17"/>
  <c r="U103" i="17"/>
  <c r="V103" i="17"/>
  <c r="U102" i="17"/>
  <c r="V102" i="17"/>
  <c r="U101" i="17"/>
  <c r="V101" i="17"/>
  <c r="U100" i="17"/>
  <c r="V100" i="17"/>
  <c r="U99" i="17"/>
  <c r="V99" i="17"/>
  <c r="U98" i="17"/>
  <c r="V98" i="17"/>
  <c r="U97" i="17"/>
  <c r="V97" i="17"/>
  <c r="U96" i="17"/>
  <c r="V96" i="17"/>
  <c r="U95" i="17"/>
  <c r="V95" i="17"/>
  <c r="U94" i="17"/>
  <c r="V94" i="17"/>
  <c r="U93" i="17"/>
  <c r="V93" i="17"/>
  <c r="U92" i="17"/>
  <c r="V92" i="17"/>
  <c r="U91" i="17"/>
  <c r="V91" i="17"/>
  <c r="U89" i="17"/>
  <c r="V89" i="17"/>
  <c r="U88" i="17"/>
  <c r="V88" i="17"/>
  <c r="U86" i="17"/>
  <c r="V86" i="17"/>
  <c r="U85" i="17"/>
  <c r="V85" i="17"/>
  <c r="U84" i="17"/>
  <c r="V84" i="17"/>
  <c r="U83" i="17"/>
  <c r="V83" i="17"/>
  <c r="U82" i="17"/>
  <c r="V82" i="17"/>
  <c r="U81" i="17"/>
  <c r="V81" i="17"/>
  <c r="U80" i="17"/>
  <c r="V80" i="17"/>
  <c r="U79" i="17"/>
  <c r="V79" i="17"/>
  <c r="U78" i="17"/>
  <c r="V78" i="17"/>
  <c r="U77" i="17"/>
  <c r="V77" i="17"/>
  <c r="U76" i="17"/>
  <c r="V76" i="17"/>
  <c r="U75" i="17"/>
  <c r="V75" i="17"/>
  <c r="U74" i="17"/>
  <c r="V74" i="17"/>
  <c r="U73" i="17"/>
  <c r="V73" i="17"/>
  <c r="U72" i="17"/>
  <c r="V72" i="17"/>
  <c r="U71" i="17"/>
  <c r="V71" i="17"/>
  <c r="U70" i="17"/>
  <c r="V70" i="17"/>
  <c r="U69" i="17"/>
  <c r="V69" i="17"/>
  <c r="U68" i="17"/>
  <c r="V68" i="17"/>
  <c r="U67" i="17"/>
  <c r="V67" i="17"/>
  <c r="U66" i="17"/>
  <c r="V66" i="17"/>
  <c r="U65" i="17"/>
  <c r="V65" i="17"/>
  <c r="U63" i="17"/>
  <c r="V63" i="17"/>
  <c r="U62" i="17"/>
  <c r="V62" i="17"/>
  <c r="U61" i="17"/>
  <c r="V61" i="17"/>
  <c r="U60" i="17"/>
  <c r="V60" i="17"/>
  <c r="U59" i="17"/>
  <c r="V59" i="17"/>
  <c r="U58" i="17"/>
  <c r="V58" i="17"/>
  <c r="U56" i="17"/>
  <c r="V56" i="17"/>
  <c r="U55" i="17"/>
  <c r="V55" i="17"/>
  <c r="U54" i="17"/>
  <c r="V54" i="17"/>
  <c r="U53" i="17"/>
  <c r="V53" i="17"/>
  <c r="U52" i="17"/>
  <c r="V52" i="17"/>
  <c r="U51" i="17"/>
  <c r="V51" i="17"/>
  <c r="U50" i="17"/>
  <c r="V50" i="17"/>
  <c r="U49" i="17"/>
  <c r="V49" i="17"/>
  <c r="U48" i="17"/>
  <c r="V48" i="17"/>
  <c r="U47" i="17"/>
  <c r="V47" i="17"/>
  <c r="U46" i="17"/>
  <c r="V46" i="17"/>
  <c r="U45" i="17"/>
  <c r="V45" i="17"/>
  <c r="U44" i="17"/>
  <c r="V44" i="17"/>
  <c r="V43" i="17"/>
  <c r="U43" i="17"/>
  <c r="V42" i="17"/>
  <c r="U42" i="17"/>
  <c r="U41" i="17"/>
  <c r="V41" i="17"/>
  <c r="U40" i="17"/>
  <c r="V40" i="17"/>
  <c r="U39" i="17"/>
  <c r="V39" i="17"/>
  <c r="U168" i="17"/>
  <c r="V167" i="17"/>
  <c r="U167" i="17"/>
  <c r="V166" i="17"/>
  <c r="U166" i="17"/>
  <c r="V160" i="17"/>
  <c r="U160" i="17"/>
  <c r="U150" i="17"/>
  <c r="U163" i="17"/>
  <c r="V163" i="17"/>
  <c r="U161" i="17"/>
  <c r="V161" i="17"/>
  <c r="U159" i="17"/>
  <c r="V159" i="17"/>
  <c r="U158" i="17"/>
  <c r="V158" i="17"/>
  <c r="U157" i="17"/>
  <c r="V157" i="17"/>
  <c r="U156" i="17"/>
  <c r="V156" i="17"/>
  <c r="U155" i="17"/>
  <c r="V155" i="17"/>
  <c r="U154" i="17"/>
  <c r="V154" i="17"/>
  <c r="U153" i="17"/>
  <c r="V153" i="17"/>
  <c r="U152" i="17"/>
  <c r="V152" i="17"/>
  <c r="U151" i="17"/>
  <c r="V151" i="17"/>
  <c r="U147" i="17"/>
  <c r="V147" i="17"/>
  <c r="U146" i="17"/>
  <c r="V146" i="17"/>
  <c r="V135" i="17"/>
  <c r="U135" i="17"/>
  <c r="B258" i="17"/>
  <c r="B257" i="17"/>
  <c r="B256" i="17"/>
  <c r="B254" i="17"/>
  <c r="B253" i="17"/>
  <c r="B260" i="17" s="1"/>
  <c r="B259" i="17"/>
  <c r="V140" i="17"/>
  <c r="U140" i="17"/>
  <c r="V139" i="17"/>
  <c r="U139" i="17"/>
  <c r="V138" i="17"/>
  <c r="U138" i="17"/>
  <c r="V137" i="17"/>
  <c r="U137" i="17"/>
  <c r="V136" i="17"/>
  <c r="U136" i="17"/>
  <c r="V134" i="17"/>
  <c r="U134" i="17"/>
  <c r="V133" i="17"/>
  <c r="U133" i="17"/>
  <c r="V132" i="17"/>
  <c r="U132" i="17"/>
  <c r="U9" i="17"/>
  <c r="U252" i="17"/>
</calcChain>
</file>

<file path=xl/sharedStrings.xml><?xml version="1.0" encoding="utf-8"?>
<sst xmlns="http://schemas.openxmlformats.org/spreadsheetml/2006/main" count="5937" uniqueCount="1442">
  <si>
    <t>Typ</t>
  </si>
  <si>
    <t>Standort</t>
  </si>
  <si>
    <t>H-001</t>
  </si>
  <si>
    <t>G2</t>
  </si>
  <si>
    <t>H-002</t>
  </si>
  <si>
    <t>H-003</t>
  </si>
  <si>
    <t>H-005</t>
  </si>
  <si>
    <t>H-006</t>
  </si>
  <si>
    <t>H-004</t>
  </si>
  <si>
    <t>H-007</t>
  </si>
  <si>
    <t>H-008</t>
  </si>
  <si>
    <t>H-009</t>
  </si>
  <si>
    <t>H-010</t>
  </si>
  <si>
    <t>H-011</t>
  </si>
  <si>
    <t>H-013</t>
  </si>
  <si>
    <t>H-014</t>
  </si>
  <si>
    <t>H-016</t>
  </si>
  <si>
    <t>H-017</t>
  </si>
  <si>
    <t>H-018</t>
  </si>
  <si>
    <t>H-020</t>
  </si>
  <si>
    <t>H-022</t>
  </si>
  <si>
    <t>H-023</t>
  </si>
  <si>
    <t>H-024</t>
  </si>
  <si>
    <t>H-025</t>
  </si>
  <si>
    <t>H-027</t>
  </si>
  <si>
    <t>H-028</t>
  </si>
  <si>
    <t>H-029</t>
  </si>
  <si>
    <t>H-030</t>
  </si>
  <si>
    <t>H-031</t>
  </si>
  <si>
    <t>H-032</t>
  </si>
  <si>
    <t>H-033</t>
  </si>
  <si>
    <t>H-034</t>
  </si>
  <si>
    <t>H-035</t>
  </si>
  <si>
    <t>H-038</t>
  </si>
  <si>
    <t>H-039</t>
  </si>
  <si>
    <t>H-040</t>
  </si>
  <si>
    <t>H-041</t>
  </si>
  <si>
    <t>H-042</t>
  </si>
  <si>
    <t>H-043</t>
  </si>
  <si>
    <t>H-044</t>
  </si>
  <si>
    <t>H-047</t>
  </si>
  <si>
    <t>H-048</t>
  </si>
  <si>
    <t>H-049</t>
  </si>
  <si>
    <t>H-050</t>
  </si>
  <si>
    <t>H-051</t>
  </si>
  <si>
    <t>H-053</t>
  </si>
  <si>
    <t>H-052</t>
  </si>
  <si>
    <t>H-054</t>
  </si>
  <si>
    <t>H-056</t>
  </si>
  <si>
    <t>H-057</t>
  </si>
  <si>
    <t>H-058</t>
  </si>
  <si>
    <t>H-059</t>
  </si>
  <si>
    <t>H-060</t>
  </si>
  <si>
    <t>A</t>
  </si>
  <si>
    <t>E-9</t>
  </si>
  <si>
    <t>C-09</t>
  </si>
  <si>
    <t>G-012</t>
  </si>
  <si>
    <t>G3</t>
  </si>
  <si>
    <t xml:space="preserve"> </t>
  </si>
  <si>
    <t>B-10</t>
  </si>
  <si>
    <t>F/G-18</t>
  </si>
  <si>
    <t>D-18</t>
  </si>
  <si>
    <t>E-18</t>
  </si>
  <si>
    <t>H-045</t>
  </si>
  <si>
    <t>H-046</t>
  </si>
  <si>
    <t>Reorg</t>
  </si>
  <si>
    <t>H-061</t>
  </si>
  <si>
    <t>H-062</t>
  </si>
  <si>
    <t>H-063</t>
  </si>
  <si>
    <t>H-065</t>
  </si>
  <si>
    <t>E-11</t>
  </si>
  <si>
    <t>H-066</t>
  </si>
  <si>
    <t>H-068</t>
  </si>
  <si>
    <t>H-069</t>
  </si>
  <si>
    <t>H-070</t>
  </si>
  <si>
    <t>H-071</t>
  </si>
  <si>
    <t>V4</t>
  </si>
  <si>
    <t>H-075</t>
  </si>
  <si>
    <t>H-064</t>
  </si>
  <si>
    <t>H-077</t>
  </si>
  <si>
    <t>80</t>
  </si>
  <si>
    <t>H-019</t>
  </si>
  <si>
    <t>H-079</t>
  </si>
  <si>
    <t>H-080</t>
  </si>
  <si>
    <t>H-021</t>
  </si>
  <si>
    <t>H-081</t>
  </si>
  <si>
    <t>H-082</t>
  </si>
  <si>
    <t>120</t>
  </si>
  <si>
    <t>H-088</t>
  </si>
  <si>
    <t>H-087</t>
  </si>
  <si>
    <t>H-092</t>
  </si>
  <si>
    <t>J/K-6</t>
  </si>
  <si>
    <t>H-093</t>
  </si>
  <si>
    <t>H-095</t>
  </si>
  <si>
    <t>H-097</t>
  </si>
  <si>
    <t>H-100</t>
  </si>
  <si>
    <t>H-101</t>
  </si>
  <si>
    <t>H-104</t>
  </si>
  <si>
    <t>H-105</t>
  </si>
  <si>
    <t>H-108</t>
  </si>
  <si>
    <t>H-107</t>
  </si>
  <si>
    <t>H-109</t>
  </si>
  <si>
    <t>S-001</t>
  </si>
  <si>
    <t>S-002</t>
  </si>
  <si>
    <t>S-003</t>
  </si>
  <si>
    <t>S-004</t>
  </si>
  <si>
    <t>S-005</t>
  </si>
  <si>
    <t>S-006</t>
  </si>
  <si>
    <t>S-007</t>
  </si>
  <si>
    <t>S-008</t>
  </si>
  <si>
    <t>S-009</t>
  </si>
  <si>
    <t>S-012</t>
  </si>
  <si>
    <t>S-013</t>
  </si>
  <si>
    <t>B-5</t>
  </si>
  <si>
    <t>S-014</t>
  </si>
  <si>
    <t>S-017</t>
  </si>
  <si>
    <t>S-019</t>
  </si>
  <si>
    <t>S-020</t>
  </si>
  <si>
    <t>S-024</t>
  </si>
  <si>
    <t>S-025</t>
  </si>
  <si>
    <t>S-026</t>
  </si>
  <si>
    <t>S-031</t>
  </si>
  <si>
    <t>S-032</t>
  </si>
  <si>
    <t>S-033</t>
  </si>
  <si>
    <t>S-036</t>
  </si>
  <si>
    <t>S-059</t>
  </si>
  <si>
    <t>S-060</t>
  </si>
  <si>
    <t>S-069</t>
  </si>
  <si>
    <t>S-077</t>
  </si>
  <si>
    <t>S-080</t>
  </si>
  <si>
    <t>S-081</t>
  </si>
  <si>
    <t>S-082</t>
  </si>
  <si>
    <t>S-086</t>
  </si>
  <si>
    <t>S-087</t>
  </si>
  <si>
    <t>S-093</t>
  </si>
  <si>
    <t>S-161</t>
  </si>
  <si>
    <t>S-162</t>
  </si>
  <si>
    <t>S-163</t>
  </si>
  <si>
    <t>S-164</t>
  </si>
  <si>
    <t>Op.</t>
  </si>
  <si>
    <t>Halle</t>
  </si>
  <si>
    <t>Pfeiler</t>
  </si>
  <si>
    <t>Bemerkung</t>
  </si>
  <si>
    <t xml:space="preserve"> V-001</t>
  </si>
  <si>
    <t>B-6</t>
  </si>
  <si>
    <t>V-002</t>
  </si>
  <si>
    <t>V-003</t>
  </si>
  <si>
    <t>F/G-0</t>
  </si>
  <si>
    <t>V-004</t>
  </si>
  <si>
    <t>V-005</t>
  </si>
  <si>
    <t>E-0</t>
  </si>
  <si>
    <t>V-006</t>
  </si>
  <si>
    <t>G-4</t>
  </si>
  <si>
    <t>V-007</t>
  </si>
  <si>
    <t>F/G-01</t>
  </si>
  <si>
    <t>V-009</t>
  </si>
  <si>
    <t>V-010</t>
  </si>
  <si>
    <t>V-011</t>
  </si>
  <si>
    <t>E-8</t>
  </si>
  <si>
    <t>V-012</t>
  </si>
  <si>
    <t>V-013</t>
  </si>
  <si>
    <t>B-3</t>
  </si>
  <si>
    <t>V-015</t>
  </si>
  <si>
    <t>J/K03</t>
  </si>
  <si>
    <t>V-016</t>
  </si>
  <si>
    <t>B-7</t>
  </si>
  <si>
    <t>V-017</t>
  </si>
  <si>
    <t>V-018</t>
  </si>
  <si>
    <t>V-020</t>
  </si>
  <si>
    <t>V-021</t>
  </si>
  <si>
    <t>V-022</t>
  </si>
  <si>
    <t>V-023</t>
  </si>
  <si>
    <t>V-024</t>
  </si>
  <si>
    <t>HOMMEL</t>
  </si>
  <si>
    <t>-</t>
  </si>
  <si>
    <t>V-025</t>
  </si>
  <si>
    <t>G1</t>
  </si>
  <si>
    <t>G-008</t>
  </si>
  <si>
    <t>G-001</t>
  </si>
  <si>
    <t>G-002</t>
  </si>
  <si>
    <t>G-003</t>
  </si>
  <si>
    <t>G-004</t>
  </si>
  <si>
    <t>G-005</t>
  </si>
  <si>
    <t>G-006</t>
  </si>
  <si>
    <t>G-007</t>
  </si>
  <si>
    <t>G-009</t>
  </si>
  <si>
    <t>G-010</t>
  </si>
  <si>
    <t>G-011</t>
  </si>
  <si>
    <t>G-013</t>
  </si>
  <si>
    <t>Anwahlbox</t>
  </si>
  <si>
    <t>PTM</t>
  </si>
  <si>
    <t>Windows-
Version</t>
  </si>
  <si>
    <t>Prüfplan-
Messprog.
Version</t>
  </si>
  <si>
    <t>Modell</t>
  </si>
  <si>
    <t xml:space="preserve"> -</t>
  </si>
  <si>
    <t>10
20</t>
  </si>
  <si>
    <t>110
230</t>
  </si>
  <si>
    <t>110
130</t>
  </si>
  <si>
    <t>120
130</t>
  </si>
  <si>
    <t>310</t>
  </si>
  <si>
    <t>120
310</t>
  </si>
  <si>
    <t>MP 1.7.24
PP 2.1.18</t>
  </si>
  <si>
    <t>MP 1.7.24
PP 2.1.15</t>
  </si>
  <si>
    <t>MP 1.7.24
PP 2.1.16</t>
  </si>
  <si>
    <t>MP 1.7.24
PP 2.1.17</t>
  </si>
  <si>
    <t>Kanal-Belegung</t>
  </si>
  <si>
    <t>Belegt</t>
  </si>
  <si>
    <t>Anzahl</t>
  </si>
  <si>
    <t>XMT6</t>
  </si>
  <si>
    <t>MP 1.7.27
PP 2.1.18</t>
  </si>
  <si>
    <t>MP 1.7.30
PP 2.1.21</t>
  </si>
  <si>
    <t>AWB 1</t>
  </si>
  <si>
    <t>AWB 2</t>
  </si>
  <si>
    <t>IBR</t>
  </si>
  <si>
    <t>190
200
270
280</t>
  </si>
  <si>
    <t>M66</t>
  </si>
  <si>
    <t>M66
XMT6</t>
  </si>
  <si>
    <t>J/K-8</t>
  </si>
  <si>
    <t>L/M-9</t>
  </si>
  <si>
    <t>M-017</t>
  </si>
  <si>
    <t>C-3</t>
  </si>
  <si>
    <t>10
30</t>
  </si>
  <si>
    <t>MTX</t>
  </si>
  <si>
    <t>AWB 1
mit Adapter</t>
  </si>
  <si>
    <t>XP</t>
  </si>
  <si>
    <t>SPC - Nr.</t>
  </si>
  <si>
    <t>Teil - Name 
Teil - Nummer</t>
  </si>
  <si>
    <t>Tisch - Nr.</t>
  </si>
  <si>
    <t>Serien - Nr.</t>
  </si>
  <si>
    <t>Sonder
HW</t>
  </si>
  <si>
    <t>Anzahl Rep.</t>
  </si>
  <si>
    <t>D/E-18</t>
  </si>
  <si>
    <t>A/D-18</t>
  </si>
  <si>
    <t>G-18</t>
  </si>
  <si>
    <t>J-13</t>
  </si>
  <si>
    <t>L-4</t>
  </si>
  <si>
    <t>L-5</t>
  </si>
  <si>
    <t>M-5</t>
  </si>
  <si>
    <t>L-3</t>
  </si>
  <si>
    <t>G/F-12</t>
  </si>
  <si>
    <t>G-13</t>
  </si>
  <si>
    <t>D-5</t>
  </si>
  <si>
    <t>E-5</t>
  </si>
  <si>
    <t>E/F-4</t>
  </si>
  <si>
    <t>D/E-5</t>
  </si>
  <si>
    <t>J-9</t>
  </si>
  <si>
    <t>H-10</t>
  </si>
  <si>
    <t>B/C-01</t>
  </si>
  <si>
    <t>C-08</t>
  </si>
  <si>
    <t>C-011</t>
  </si>
  <si>
    <t>C-010</t>
  </si>
  <si>
    <t>B/C-07</t>
  </si>
  <si>
    <t>C/D-06</t>
  </si>
  <si>
    <t>D-07</t>
  </si>
  <si>
    <t>L-018</t>
  </si>
  <si>
    <t>L/M-019</t>
  </si>
  <si>
    <t>J/K-019</t>
  </si>
  <si>
    <t>L-017</t>
  </si>
  <si>
    <t>K-013</t>
  </si>
  <si>
    <t>M-014</t>
  </si>
  <si>
    <t>B-018</t>
  </si>
  <si>
    <t>G/H-019</t>
  </si>
  <si>
    <t>M-0</t>
  </si>
  <si>
    <t>K-06</t>
  </si>
  <si>
    <t>K-8</t>
  </si>
  <si>
    <t>L/M-10</t>
  </si>
  <si>
    <t>H-03</t>
  </si>
  <si>
    <t>G-03</t>
  </si>
  <si>
    <t>F-06</t>
  </si>
  <si>
    <t>F-03</t>
  </si>
  <si>
    <t>F-0</t>
  </si>
  <si>
    <t>B-4</t>
  </si>
  <si>
    <t>E-10</t>
  </si>
  <si>
    <t>F-8</t>
  </si>
  <si>
    <t>C-9</t>
  </si>
  <si>
    <t>C-10</t>
  </si>
  <si>
    <t>S-165</t>
  </si>
  <si>
    <t>F-7</t>
  </si>
  <si>
    <t>D-10</t>
  </si>
  <si>
    <t>D-9</t>
  </si>
  <si>
    <t>F-9</t>
  </si>
  <si>
    <t>F-10</t>
  </si>
  <si>
    <t>B-8</t>
  </si>
  <si>
    <t>J-3</t>
  </si>
  <si>
    <t>F-4</t>
  </si>
  <si>
    <t>C-8</t>
  </si>
  <si>
    <t>OPW</t>
  </si>
  <si>
    <t>MP 1.7.26
PP 2.1.18</t>
  </si>
  <si>
    <t xml:space="preserve">MP 1.0.18
PP </t>
  </si>
  <si>
    <t>MP 1.7.28
PP 2.1.18</t>
  </si>
  <si>
    <t>MP 1.7.29
PP 2.1.20</t>
  </si>
  <si>
    <t>Neu</t>
  </si>
  <si>
    <t>Alt</t>
  </si>
  <si>
    <t>F.Nr.
010349</t>
  </si>
  <si>
    <t>Zahnrad 3.Gang
7M003</t>
  </si>
  <si>
    <t>50
55</t>
  </si>
  <si>
    <t>Sperrsynchronring 
1./2.Gang Innen
7107</t>
  </si>
  <si>
    <t>Synchronkonus  
4./5./Rw.Gang
7M000</t>
  </si>
  <si>
    <t>Kupplungsring
7M157</t>
  </si>
  <si>
    <t>Festrad 5.Gang
7144</t>
  </si>
  <si>
    <t>Synchronkonus  
3.Gang
7M000</t>
  </si>
  <si>
    <t>Synchronkonus  
3./4./5./Rw.Gang
7M000</t>
  </si>
  <si>
    <t>Synchronkupplungsnabe
7105</t>
  </si>
  <si>
    <t>Zahnrad 2.Gang
7102</t>
  </si>
  <si>
    <t>Antriebswelle
7L253</t>
  </si>
  <si>
    <t>110
120</t>
  </si>
  <si>
    <t>Zahnrad 1.Gang
7100</t>
  </si>
  <si>
    <t>Sperrsynchronring 
1./2.Gang Aussen
7107</t>
  </si>
  <si>
    <t>Sperrsynchronring 
3./4./5.Gang
7107</t>
  </si>
  <si>
    <t>Synchronkonus
7M000</t>
  </si>
  <si>
    <t>Abtriebswelle
7061</t>
  </si>
  <si>
    <t>Zahnrad 1.Gang
7M161</t>
  </si>
  <si>
    <t>Festrad 3.Gang
7137</t>
  </si>
  <si>
    <t>Zahnrad 2.Gang
7M162</t>
  </si>
  <si>
    <t>Zahnrad Rückwärtsgang
7M006</t>
  </si>
  <si>
    <t>Zahrad Rückwärtsgang
7K013</t>
  </si>
  <si>
    <t>Zahnrad 4.Gang
7110</t>
  </si>
  <si>
    <t>Kupplungsring
1.2.Gang
7M157</t>
  </si>
  <si>
    <t>Zahnrad 5.Gang
7M005</t>
  </si>
  <si>
    <t>Zahnrad 4.Gang
7M004</t>
  </si>
  <si>
    <t>Festrad 4.Gang
7112</t>
  </si>
  <si>
    <t>Zahnrad 3.Gang
Festrad 3.Gang
7B340/7144</t>
  </si>
  <si>
    <t>Synchronkonus
3.Gang
7M000</t>
  </si>
  <si>
    <t>MP 1.7.29
PP 2.1.18</t>
  </si>
  <si>
    <t>MP 1.7.30
PP 2.1.19</t>
  </si>
  <si>
    <t>MP 1.7.24
PP 2.1.14</t>
  </si>
  <si>
    <t>MP 1.7.23
PP 2.1.14</t>
  </si>
  <si>
    <t>MP 1.7.22
PP 2.1.14</t>
  </si>
  <si>
    <t>MP 1.8.08
PP 2.1.18</t>
  </si>
  <si>
    <t>3 IBR</t>
  </si>
  <si>
    <t>XMT6
XPS6</t>
  </si>
  <si>
    <t>XMT6
M66</t>
  </si>
  <si>
    <t>XPS6</t>
  </si>
  <si>
    <t>Abtriebswelle
7061/7A356</t>
  </si>
  <si>
    <t>150
170</t>
  </si>
  <si>
    <t>Ring-Gear
7G334</t>
  </si>
  <si>
    <t>Zwischenrad Rückwärtsgang
7C238</t>
  </si>
  <si>
    <t>Zahnrad Rückwärtsgang
7K013</t>
  </si>
  <si>
    <t>Zahnrad 6.Gang
7M198</t>
  </si>
  <si>
    <t>Zahnrad 5.Gang
7K316</t>
  </si>
  <si>
    <t>Zahnrad 3.Gang
7B340</t>
  </si>
  <si>
    <t>Festrad 4./6.Gang
7112</t>
  </si>
  <si>
    <t>10
20
30</t>
  </si>
  <si>
    <t>Synchronkupplungsnabe
1./2./3./4.Gang
7105</t>
  </si>
  <si>
    <t>Synchronkupplungsnabe
1./2./3./4./Rw.Gang
7105</t>
  </si>
  <si>
    <t>40
60</t>
  </si>
  <si>
    <t>Abtriebswelle
7A356</t>
  </si>
  <si>
    <t>140
150</t>
  </si>
  <si>
    <t>Synchronkupplungsring 
1./2./3./4./5./Rw.Gang
-7106</t>
  </si>
  <si>
    <t>140
141</t>
  </si>
  <si>
    <t>Zahnrad 4.Gang
7M164</t>
  </si>
  <si>
    <t>Sperrsynchronring 
5./6./Rw.Gang
7107</t>
  </si>
  <si>
    <t>100
220</t>
  </si>
  <si>
    <t>10
15</t>
  </si>
  <si>
    <t>Sperrsynchronring 
1./2./3./4.Gang Innen
7107</t>
  </si>
  <si>
    <t>140
220</t>
  </si>
  <si>
    <t>Zahnrad 3.Gang
7M163</t>
  </si>
  <si>
    <t>Filter/
Lüfter</t>
  </si>
  <si>
    <t>C-7</t>
  </si>
  <si>
    <t>2 IBR</t>
  </si>
  <si>
    <t>30
40
50</t>
  </si>
  <si>
    <t>Kupplungsscheibe
Synchronkonus
7M157/7M000</t>
  </si>
  <si>
    <t>Synchronkupplungsring 
1./2./3./4.Gang
7106</t>
  </si>
  <si>
    <t>Synchronkupplungsring 
1./2.Gang
7106</t>
  </si>
  <si>
    <t>Synchronkupplungsring 
3./4./5./Rw.Gang
7106</t>
  </si>
  <si>
    <t>Synchronkupplungsring
1./2./3./4./5./Rw.Gang
7106</t>
  </si>
  <si>
    <t>Sperrsynchronring
1./2./3./4/5./6./Rw.Gang
7106</t>
  </si>
  <si>
    <t>Zahnrad 1./2./3./4./5./6./RW.Gg
7110/7102/7B340-7110/7K316/7M197/7K013</t>
  </si>
  <si>
    <t>Zahnrad 1./2.Gang
7100/7102</t>
  </si>
  <si>
    <t>Zahnrad 1./2.Gang
7M161/7M162</t>
  </si>
  <si>
    <t>Zahnrad 1./2./3./4./5./6./RW.Gg
7M161/7M162/7M163/7M164/7M165/7M197/7M166</t>
  </si>
  <si>
    <t>Festrad 3./4./5.Gang
7137/7112/7144</t>
  </si>
  <si>
    <t>Festrad 5./6.Gang
7144/7M202</t>
  </si>
  <si>
    <t>Festrad 6.Gang
7M202</t>
  </si>
  <si>
    <t>Zahnrad 3./4./5./6./RW.Gg
7B340/7110/7K316/7M197/ 7K013</t>
  </si>
  <si>
    <t>Zahnrad 2./3./4./5./6./RW.Gg
7M162/7M163/7M164/7M165/ 7M197/7M166</t>
  </si>
  <si>
    <t>Abtriebswelle
7061
7A356</t>
  </si>
  <si>
    <t xml:space="preserve">Abtriebswelle
7061
</t>
  </si>
  <si>
    <t>Synchronkupplungsring
7106</t>
  </si>
  <si>
    <t>Zahnrad 1./2./6.Gang
7M161/7M162/7M197</t>
  </si>
  <si>
    <t>Antriebswelle
7015</t>
  </si>
  <si>
    <t>Reverseshaft
7140</t>
  </si>
  <si>
    <t>Zahnrad 1./2./4./5./6./RW.Gg.
7M161/7M162/7110/
7K316/7M198/7K013</t>
  </si>
  <si>
    <t>Zahnrad 1./6.Gang
7110/7M198</t>
  </si>
  <si>
    <t>G-014</t>
  </si>
  <si>
    <t>ABW1</t>
  </si>
  <si>
    <t>30
40</t>
  </si>
  <si>
    <t>Zahnrad 2./3./5.Gang
7M162/7M163/7M165/7M005</t>
  </si>
  <si>
    <t>Festrad 3./5.Gang
7137/7144</t>
  </si>
  <si>
    <t>Zahnrad 1.Gang
Festrad 4./6.Gang
7M161/7112</t>
  </si>
  <si>
    <t>XMT6
MTX</t>
  </si>
  <si>
    <t>Zahnrad 3.Gang
Zwischenrad Rwg.
7B340/7142</t>
  </si>
  <si>
    <t>Zahnrad 2./3./5.Gang
Festrad 3./5.Gang
7M162/7M163/7B340/7M165
7M005/7137/7144</t>
  </si>
  <si>
    <t>Daten gesichert</t>
  </si>
  <si>
    <t>Daten upload</t>
  </si>
  <si>
    <t>Antriebswelle/Abtriebswelle
7L253/7061/7A356</t>
  </si>
  <si>
    <t>Zahnrad 1./3./5./Rwg.
7100/7B340/7K316/7K013</t>
  </si>
  <si>
    <t>Festrad 3./5./4./6.Gang
7137/7144/7112</t>
  </si>
  <si>
    <t>160
190</t>
  </si>
  <si>
    <t>Synchronkupplungsring 
1./2./3./4./5./Rw.Gang
7106</t>
  </si>
  <si>
    <t>Kupplungsscheibe
7m157</t>
  </si>
  <si>
    <t>Zahnrad 2.Gang
8C1r/7G9R-7M162</t>
  </si>
  <si>
    <t>Zahnrad 1.Gang
8C1r/7G9R-7M161</t>
  </si>
  <si>
    <t>50
60</t>
  </si>
  <si>
    <t>Sperrsynchronring Innen
1 - 4.Gang
7107</t>
  </si>
  <si>
    <t>VMT6</t>
  </si>
  <si>
    <t>Synchronkupplungsring 
7106</t>
  </si>
  <si>
    <t>G-015</t>
  </si>
  <si>
    <t>Mahr
IBR</t>
  </si>
  <si>
    <t>Anzahl Prüfplan</t>
  </si>
  <si>
    <t>Anzahl Major</t>
  </si>
  <si>
    <t>Anzahl Minor</t>
  </si>
  <si>
    <t>G-016</t>
  </si>
  <si>
    <t>F03</t>
  </si>
  <si>
    <t>Summe</t>
  </si>
  <si>
    <t>C-03</t>
  </si>
  <si>
    <t>V5</t>
  </si>
  <si>
    <t>Win7</t>
  </si>
  <si>
    <t>G-018</t>
  </si>
  <si>
    <t xml:space="preserve">Abtriebswelle
7A356
</t>
  </si>
  <si>
    <t xml:space="preserve">310
</t>
  </si>
  <si>
    <t>110</t>
  </si>
  <si>
    <t>M03</t>
  </si>
  <si>
    <t>G-019</t>
  </si>
  <si>
    <t>50</t>
  </si>
  <si>
    <t>Kupplungsscheibe
AG9R-7M157-ACA</t>
  </si>
  <si>
    <t>Synchronkupplungsring 
1./2./3./4./Rw.Gang
7106</t>
  </si>
  <si>
    <t>Synchronkupplungsring 1./2./3./4.Gang
7106</t>
  </si>
  <si>
    <t>Kupplungsscheibe
7M157</t>
  </si>
  <si>
    <t>Kupplungsscheibe 3./4.Gang
7M157</t>
  </si>
  <si>
    <t>Festrad 3./4./5./6.Gang
7137/7112/7144</t>
  </si>
  <si>
    <t>220
260</t>
  </si>
  <si>
    <t>Synchronkonus  
5./6./Rw.Gang
7M000</t>
  </si>
  <si>
    <t>IR - 57
Sichtprüfung</t>
  </si>
  <si>
    <t>Aug
15</t>
  </si>
  <si>
    <t>Aug
15 L</t>
  </si>
  <si>
    <t>Aug
15 F</t>
  </si>
  <si>
    <t>J-09</t>
  </si>
  <si>
    <t>F.Nr.
20216</t>
  </si>
  <si>
    <t>Seriell</t>
  </si>
  <si>
    <t>Abtriebswelle 1
7061</t>
  </si>
  <si>
    <t>m66</t>
  </si>
  <si>
    <t>Zahnrad 2./3./5.Gang
Festrad 3./4./5./6.Gang
7M162/7M163/7B340/
7M005/7137/7144/7112</t>
  </si>
  <si>
    <t>MP 2.0.16
PP 2.3.11</t>
  </si>
  <si>
    <t>MP 2.013
PP 2.1.21</t>
  </si>
  <si>
    <t>Abtriebswelle 2
7A356</t>
  </si>
  <si>
    <t>D-4</t>
  </si>
  <si>
    <t>D3</t>
  </si>
  <si>
    <t>K-03</t>
  </si>
  <si>
    <t>J-06</t>
  </si>
  <si>
    <t>E-6</t>
  </si>
  <si>
    <t>SPC</t>
  </si>
  <si>
    <t>MP 1.7.28
PP 2.1.21</t>
  </si>
  <si>
    <t>Schulungsgerät</t>
  </si>
  <si>
    <t>Jul
15 L</t>
  </si>
  <si>
    <t>Zahnrad 2./3./4./6.Gang
7102/7110/7M198</t>
  </si>
  <si>
    <t>G-020</t>
  </si>
  <si>
    <t>Abtriebswelle
7a356/7061</t>
  </si>
  <si>
    <t>G-021</t>
  </si>
  <si>
    <t>Zeiss</t>
  </si>
  <si>
    <t>Sperrsynchronring
-7106-</t>
  </si>
  <si>
    <t xml:space="preserve">  </t>
  </si>
  <si>
    <t>D-6</t>
  </si>
  <si>
    <t>G-09</t>
  </si>
  <si>
    <t>Jul
16 L</t>
  </si>
  <si>
    <t>Jul
16 F</t>
  </si>
  <si>
    <t>Win 7</t>
  </si>
  <si>
    <t>PQC</t>
  </si>
  <si>
    <t>2000</t>
  </si>
  <si>
    <t>Hommel</t>
  </si>
  <si>
    <t>Aug
16 L</t>
  </si>
  <si>
    <t>Aug
16 F</t>
  </si>
  <si>
    <t>M 03</t>
  </si>
  <si>
    <t>Sep
15 F</t>
  </si>
  <si>
    <t>Sep
15 L</t>
  </si>
  <si>
    <t>G-022</t>
  </si>
  <si>
    <t>L-8</t>
  </si>
  <si>
    <t>MP 2.0.18
PP 2.3.15</t>
  </si>
  <si>
    <t>Zahnrad 6.Gang
7M197/7h518</t>
  </si>
  <si>
    <t>Zahnrad 5.Gang
7M165</t>
  </si>
  <si>
    <t>AWB1</t>
  </si>
  <si>
    <t>Jul
17 L</t>
  </si>
  <si>
    <t>C-12</t>
  </si>
  <si>
    <t>Sep
16 F</t>
  </si>
  <si>
    <r>
      <t xml:space="preserve">MP 2.0.18
</t>
    </r>
    <r>
      <rPr>
        <u/>
        <sz val="10"/>
        <rFont val="Arial"/>
        <family val="2"/>
      </rPr>
      <t>PP 2.3.15</t>
    </r>
  </si>
  <si>
    <t>Sep
16 L</t>
  </si>
  <si>
    <t>Oberflächen Gerät</t>
  </si>
  <si>
    <t>G-017</t>
  </si>
  <si>
    <t>WIin7</t>
  </si>
  <si>
    <t>&gt; Image gesichert</t>
  </si>
  <si>
    <t>G-023</t>
  </si>
  <si>
    <t>ABw1</t>
  </si>
  <si>
    <t>Sep
17 L</t>
  </si>
  <si>
    <t>Reverseshaft         
7140</t>
  </si>
  <si>
    <t>Zahnrad 
diverse</t>
  </si>
  <si>
    <t>230 240</t>
  </si>
  <si>
    <t>240</t>
  </si>
  <si>
    <t>G-024</t>
  </si>
  <si>
    <t>Abtriebswelle</t>
  </si>
  <si>
    <t>Abw1</t>
  </si>
  <si>
    <t>M04</t>
  </si>
  <si>
    <t>32 Kanal</t>
  </si>
  <si>
    <t>Stk</t>
  </si>
  <si>
    <t>24 Kanal</t>
  </si>
  <si>
    <t>16 Kanal</t>
  </si>
  <si>
    <t>8 Kanal</t>
  </si>
  <si>
    <t>C-06</t>
  </si>
  <si>
    <t>MP 1.7.30
PP 2.1.18</t>
  </si>
  <si>
    <t>F-3</t>
  </si>
  <si>
    <t>G-025</t>
  </si>
  <si>
    <t>Zahnräder diverse</t>
  </si>
  <si>
    <t>40   60</t>
  </si>
  <si>
    <t>B2</t>
  </si>
  <si>
    <t>Zahnrad 1./2./3./5.Gang
7m161/7M162/7M163/7M165</t>
  </si>
  <si>
    <t>Zahnrad 4./6./Rw.Gang
7m004/7M197/7M006</t>
  </si>
  <si>
    <t>MP 2.0.19
PP 2.3.18</t>
  </si>
  <si>
    <t>80% EG.</t>
  </si>
  <si>
    <t>USB Hinten</t>
  </si>
  <si>
    <t>G-026</t>
  </si>
  <si>
    <t>PC</t>
  </si>
  <si>
    <t>keine</t>
  </si>
  <si>
    <t>Räder / Wellen</t>
  </si>
  <si>
    <t>G7</t>
  </si>
  <si>
    <t>J-4</t>
  </si>
  <si>
    <t xml:space="preserve"> IBR</t>
  </si>
  <si>
    <t>Daten nicht abloaden!</t>
  </si>
  <si>
    <t>1
Seriel</t>
  </si>
  <si>
    <t>Aug
17 L</t>
  </si>
  <si>
    <t>1 Inkr.
Tacho</t>
  </si>
  <si>
    <t>2 Inkr.
Tacho</t>
  </si>
  <si>
    <t>4 Inkr.
Tacho</t>
  </si>
  <si>
    <t>G-027</t>
  </si>
  <si>
    <t>G-028</t>
  </si>
  <si>
    <t>Okt
17</t>
  </si>
  <si>
    <t xml:space="preserve">AWB 1 </t>
  </si>
  <si>
    <t>G-029</t>
  </si>
  <si>
    <t>J-8</t>
  </si>
  <si>
    <t>Nov
17</t>
  </si>
  <si>
    <t>keine Daten sammeln
( Saeulenersatz)</t>
  </si>
  <si>
    <t>T5</t>
  </si>
  <si>
    <t>Aug 17</t>
  </si>
  <si>
    <t>D-0</t>
  </si>
  <si>
    <t>Shot Peening. Handeingabe an PC
Passwort : gft123</t>
  </si>
  <si>
    <t>G-033</t>
  </si>
  <si>
    <t>Ring-Gear
J3UR-7G334-ZGA</t>
  </si>
  <si>
    <t>Jan
18</t>
  </si>
  <si>
    <t>G-034</t>
  </si>
  <si>
    <t>BMT6</t>
  </si>
  <si>
    <t>MP 2.0.21
PP 2.3.19</t>
  </si>
  <si>
    <t>G-035</t>
  </si>
  <si>
    <t>3. Gang Losrad
7B340</t>
  </si>
  <si>
    <t>F. Tillmann
(9 Geräte bestellt)</t>
  </si>
  <si>
    <t>MPS</t>
  </si>
  <si>
    <t>G-036</t>
  </si>
  <si>
    <t>L015</t>
  </si>
  <si>
    <t>Reserviert für J.Kreutzkamp</t>
  </si>
  <si>
    <t>Reserviert für M.Kocakli
Fa. Nieberding
(9 Geräte bestellt von F.Tillmann)</t>
  </si>
  <si>
    <t>(9 Geräte bestellt von F.Tillmann)</t>
  </si>
  <si>
    <t>Inputshaft 
JU3R-7L253-ZG</t>
  </si>
  <si>
    <t>Ring-Gear</t>
  </si>
  <si>
    <t>G-037</t>
  </si>
  <si>
    <t>März
18</t>
  </si>
  <si>
    <t>G-038</t>
  </si>
  <si>
    <t>G-040</t>
  </si>
  <si>
    <t>Reserviert für M.Kocakli
(9 Geräte bestellt von F.Tillmann)</t>
  </si>
  <si>
    <t>Inputshaft 
7L253</t>
  </si>
  <si>
    <t>G-041</t>
  </si>
  <si>
    <t>4. Gang Losrad</t>
  </si>
  <si>
    <t>MMT6</t>
  </si>
  <si>
    <t>F. Tillmann 
(9 Geräte bestellt)</t>
  </si>
  <si>
    <t>G-043</t>
  </si>
  <si>
    <t>G-044</t>
  </si>
  <si>
    <t>G-045</t>
  </si>
  <si>
    <t>G-046</t>
  </si>
  <si>
    <t>G-047</t>
  </si>
  <si>
    <t>M. Tuncel</t>
  </si>
  <si>
    <t>Abtriebswelle 1
7M5R-7061-H1B</t>
  </si>
  <si>
    <t>Win10</t>
  </si>
  <si>
    <t>Apr
17 L</t>
  </si>
  <si>
    <t>G-048</t>
  </si>
  <si>
    <t>M.Tuncel</t>
  </si>
  <si>
    <t>E0</t>
  </si>
  <si>
    <t>G-049</t>
  </si>
  <si>
    <t>Greengate</t>
  </si>
  <si>
    <t>FG01125</t>
  </si>
  <si>
    <t>DG00247</t>
  </si>
  <si>
    <t>DG00263</t>
  </si>
  <si>
    <t>DG00320</t>
  </si>
  <si>
    <t>DG00321</t>
  </si>
  <si>
    <t>DG00302</t>
  </si>
  <si>
    <t>FG01668</t>
  </si>
  <si>
    <t>G-050</t>
  </si>
  <si>
    <t>G-051</t>
  </si>
  <si>
    <t>Gerät vom Bobo für I. Arndt</t>
  </si>
  <si>
    <t>G-052</t>
  </si>
  <si>
    <t>E-4</t>
  </si>
  <si>
    <t>Juli
18</t>
  </si>
  <si>
    <t>J/K-012</t>
  </si>
  <si>
    <t>F. Tillmann / Jörg Stein
(9 Geräte bestellt)</t>
  </si>
  <si>
    <t xml:space="preserve">Messwerte ''flattern''
</t>
  </si>
  <si>
    <t>L012</t>
  </si>
  <si>
    <t>Leihweise an R. Steinbüschel</t>
  </si>
  <si>
    <t>F0</t>
  </si>
  <si>
    <t>G-053</t>
  </si>
  <si>
    <t>15/25</t>
  </si>
  <si>
    <t>J-021</t>
  </si>
  <si>
    <t>M-021</t>
  </si>
  <si>
    <t>Abtriebswelle 1
div-7061-div</t>
  </si>
  <si>
    <t>DG00603</t>
  </si>
  <si>
    <t>DG00606</t>
  </si>
  <si>
    <t>DG00669</t>
  </si>
  <si>
    <t>DG00499</t>
  </si>
  <si>
    <t>DG00489</t>
  </si>
  <si>
    <t>DG00089</t>
  </si>
  <si>
    <t>DG00433</t>
  </si>
  <si>
    <t>DG00607</t>
  </si>
  <si>
    <t>DG00601</t>
  </si>
  <si>
    <t>DG00602</t>
  </si>
  <si>
    <t>DG00608</t>
  </si>
  <si>
    <t>DG00500</t>
  </si>
  <si>
    <t>DG00547</t>
  </si>
  <si>
    <t>DG00548</t>
  </si>
  <si>
    <t>DG00600</t>
  </si>
  <si>
    <t>FG01667</t>
  </si>
  <si>
    <t>DG00301</t>
  </si>
  <si>
    <t>DG00605</t>
  </si>
  <si>
    <t>DG00670</t>
  </si>
  <si>
    <t>DG00616</t>
  </si>
  <si>
    <t>Defekt, im SPC-Zentrum</t>
  </si>
  <si>
    <t>Defekt, in Reperatur</t>
  </si>
  <si>
    <t>F-5</t>
  </si>
  <si>
    <t>H-012</t>
  </si>
  <si>
    <t>B/C-2</t>
  </si>
  <si>
    <t>DG00797</t>
  </si>
  <si>
    <t>MP 2.1.21
PP 2.3.19</t>
  </si>
  <si>
    <t>F-012</t>
  </si>
  <si>
    <t>Win 10</t>
  </si>
  <si>
    <t>G-055</t>
  </si>
  <si>
    <t>D4</t>
  </si>
  <si>
    <t>100/220</t>
  </si>
  <si>
    <t>DG002875</t>
  </si>
  <si>
    <t>DG</t>
  </si>
  <si>
    <t>DG00604</t>
  </si>
  <si>
    <t>DG00530</t>
  </si>
  <si>
    <t>OG01077-12</t>
  </si>
  <si>
    <t>FG01680</t>
  </si>
  <si>
    <t>L-015</t>
  </si>
  <si>
    <t>D-0/4</t>
  </si>
  <si>
    <t>Kabel gequetscht 
Auftrag an Elektriker</t>
  </si>
  <si>
    <t>Nov
18</t>
  </si>
  <si>
    <t>F. Tillmann 
(9 Geräte bestellt)
R. Steinbüchel</t>
  </si>
  <si>
    <t>DG00501</t>
  </si>
  <si>
    <t>DG00671</t>
  </si>
  <si>
    <t>SPC-Zentrum</t>
  </si>
  <si>
    <t>G-039</t>
  </si>
  <si>
    <t>40
50
60</t>
  </si>
  <si>
    <t>J4</t>
  </si>
  <si>
    <t>G-035 H.Izi</t>
  </si>
  <si>
    <t>steht für h-024 H.Izi</t>
  </si>
  <si>
    <t>G-056</t>
  </si>
  <si>
    <t>MP 2.0.22
PP 2.3.19</t>
  </si>
  <si>
    <t>Für MPS6 G-046 im Einsatz, dann auf G-046 versetzt.</t>
  </si>
  <si>
    <t>Als Ersatzgerät für V-018 im Einsatz
F. Tillmann J. Kreutzkamp
(9 Geräte bestellt)</t>
  </si>
  <si>
    <t>G-057</t>
  </si>
  <si>
    <t>Defekt, WASSERSCHADEN!!!              Zur Reparatur! Irreparabel email 16.01.2018!</t>
  </si>
  <si>
    <t>ursprünglich G-053 MPS</t>
  </si>
  <si>
    <t>G-059</t>
  </si>
  <si>
    <t>G-060</t>
  </si>
  <si>
    <t>G-058</t>
  </si>
  <si>
    <t>Losrad 4.Gang
7m164</t>
  </si>
  <si>
    <t>Losrad 4.Gang
7110</t>
  </si>
  <si>
    <t>E/F9</t>
  </si>
  <si>
    <t>E03</t>
  </si>
  <si>
    <t>SPC-Keller</t>
  </si>
  <si>
    <t>Aug
18 L</t>
  </si>
  <si>
    <t>PN-</t>
  </si>
  <si>
    <t>I62361</t>
  </si>
  <si>
    <t>I51346</t>
  </si>
  <si>
    <t>?</t>
  </si>
  <si>
    <t>I51446</t>
  </si>
  <si>
    <t>I51345</t>
  </si>
  <si>
    <t>I38605</t>
  </si>
  <si>
    <t>I33072</t>
  </si>
  <si>
    <t>I30267</t>
  </si>
  <si>
    <t>I44718</t>
  </si>
  <si>
    <t>I42222</t>
  </si>
  <si>
    <t>I45273</t>
  </si>
  <si>
    <t>I42224</t>
  </si>
  <si>
    <t>I42113</t>
  </si>
  <si>
    <t>I39673</t>
  </si>
  <si>
    <t>I38641</t>
  </si>
  <si>
    <t>I34969</t>
  </si>
  <si>
    <t>I38643</t>
  </si>
  <si>
    <t>noch nicht aufgenommen</t>
  </si>
  <si>
    <t>J.Stein</t>
  </si>
  <si>
    <t>I62124</t>
  </si>
  <si>
    <t>I62601</t>
  </si>
  <si>
    <t>M.Hermann</t>
  </si>
  <si>
    <t>G-061</t>
  </si>
  <si>
    <t>7L253</t>
  </si>
  <si>
    <t>J5</t>
  </si>
  <si>
    <t>MP 1.7.28
PP 2.1.19</t>
  </si>
  <si>
    <t>Ersatz für Mahr 1260
Keine Daten sammeln!</t>
  </si>
  <si>
    <t>F4</t>
  </si>
  <si>
    <t>J3</t>
  </si>
  <si>
    <t>G-062</t>
  </si>
  <si>
    <t>G-063</t>
  </si>
  <si>
    <t>G-064</t>
  </si>
  <si>
    <t>T-REX</t>
  </si>
  <si>
    <t>OG02936</t>
  </si>
  <si>
    <t>OG02874</t>
  </si>
  <si>
    <t>7L253
7061
7L353</t>
  </si>
  <si>
    <t>G-065</t>
  </si>
  <si>
    <t>Ehe</t>
  </si>
  <si>
    <t>L024</t>
  </si>
  <si>
    <t>J-11</t>
  </si>
  <si>
    <t>OG 02876</t>
  </si>
  <si>
    <t>OG02935</t>
  </si>
  <si>
    <t>G12</t>
  </si>
  <si>
    <t>LK2R-7G334-AJA</t>
  </si>
  <si>
    <t>G-066</t>
  </si>
  <si>
    <t>G-067</t>
  </si>
  <si>
    <t>G-068</t>
  </si>
  <si>
    <t>KK2R-7M197-TCA</t>
  </si>
  <si>
    <t>R. Steinbüchel 
ehemals von MPS G-039</t>
  </si>
  <si>
    <t>R. Steinbüchel 
ehemals von MPS G-043</t>
  </si>
  <si>
    <t>R. Steinbüchel 
ehemals von MPS G-045</t>
  </si>
  <si>
    <t>D/E05</t>
  </si>
  <si>
    <t>G-069</t>
  </si>
  <si>
    <t>KK2R-7M001-TCA
JK2R-7M001-UCA</t>
  </si>
  <si>
    <t>G-070</t>
  </si>
  <si>
    <t>G-071</t>
  </si>
  <si>
    <t>KK2R-7M157-GCB</t>
  </si>
  <si>
    <t>G-072</t>
  </si>
  <si>
    <t>G-073</t>
  </si>
  <si>
    <t>G-074</t>
  </si>
  <si>
    <t>G-075</t>
  </si>
  <si>
    <t>KK2R-7M000-ACA/BCA</t>
  </si>
  <si>
    <t>40
50</t>
  </si>
  <si>
    <t>G-076</t>
  </si>
  <si>
    <t>kk2r-7m002-tca</t>
  </si>
  <si>
    <t>ehemals für M.Tuncel</t>
  </si>
  <si>
    <t>J.Rommel
ehemals von MPS G-047</t>
  </si>
  <si>
    <t>20
30</t>
  </si>
  <si>
    <t>KK2R-7M000-BCA</t>
  </si>
  <si>
    <t>J.Stawski
ehemals von MPS G-044</t>
  </si>
  <si>
    <t>G-077</t>
  </si>
  <si>
    <t>JK2R-7M001-UCA</t>
  </si>
  <si>
    <t>Juni
19</t>
  </si>
  <si>
    <t>I67822</t>
  </si>
  <si>
    <t>J.Stawski</t>
  </si>
  <si>
    <t>J.Stawski / H.Izi</t>
  </si>
  <si>
    <t>B.Piechatzek
ehemals von MPS G-038</t>
  </si>
  <si>
    <t>G-078</t>
  </si>
  <si>
    <t>h1br-7p212-aa</t>
  </si>
  <si>
    <t>MX 65</t>
  </si>
  <si>
    <t>J.Stawski / H.Izi
Ersatz für M.Herman (H-071)</t>
  </si>
  <si>
    <t>SPC-Zentrum ( Disk-Boot-Fehler
 tritt immer mal wieder auf )</t>
  </si>
  <si>
    <t>R.Steinbüchel- zu Nieberding am 16.01.2018 (war G039)</t>
  </si>
  <si>
    <t>OG02950</t>
  </si>
  <si>
    <t>OG02949</t>
  </si>
  <si>
    <t>OG02866</t>
  </si>
  <si>
    <t>OG02864</t>
  </si>
  <si>
    <t>OG02951</t>
  </si>
  <si>
    <t>OG02948</t>
  </si>
  <si>
    <t>DG00816</t>
  </si>
  <si>
    <t>G-079</t>
  </si>
  <si>
    <t>Juli
19</t>
  </si>
  <si>
    <t>KK2R7M157-FCA</t>
  </si>
  <si>
    <t>G-080</t>
  </si>
  <si>
    <t>DG00399</t>
  </si>
  <si>
    <t>Zahnrad 3./ 4.Gang
7M003 / 7M004</t>
  </si>
  <si>
    <t>Festrad 3.Gang / 4.Gang
7137 / 7112</t>
  </si>
  <si>
    <t>B9</t>
  </si>
  <si>
    <t>B10</t>
  </si>
  <si>
    <t>Im SPC-Lager eingelagert</t>
  </si>
  <si>
    <t>Für H-059 eingesetzt</t>
  </si>
  <si>
    <t>Bogdan Piechatzek/Im SPC-Lager eingelagert</t>
  </si>
  <si>
    <t>werden verschrottet</t>
  </si>
  <si>
    <t>Im SPC-Zentrum eingelagert</t>
  </si>
  <si>
    <t>Für V-013 eingesetzt</t>
  </si>
  <si>
    <t>B4</t>
  </si>
  <si>
    <t>G-081</t>
  </si>
  <si>
    <t>KK2R-7105-DCA</t>
  </si>
  <si>
    <t>Uwe Guth
ehemals von MTX S-069</t>
  </si>
  <si>
    <t>Im SPC-Lager eingelagert
Neu G-081</t>
  </si>
  <si>
    <t>Für H-092 im einsatz</t>
  </si>
  <si>
    <t>C-5</t>
  </si>
  <si>
    <t>E-7</t>
  </si>
  <si>
    <t>D/E-05</t>
  </si>
  <si>
    <t>G-082</t>
  </si>
  <si>
    <t>KK2R-7107-HCA</t>
  </si>
  <si>
    <t>ist G-082 für U Guth</t>
  </si>
  <si>
    <t>FMT6</t>
  </si>
  <si>
    <t>G-083</t>
  </si>
  <si>
    <t>KK2R-7107-GCA</t>
  </si>
  <si>
    <t>OG02869</t>
  </si>
  <si>
    <t>OG02937</t>
  </si>
  <si>
    <t>ehemals S-068</t>
  </si>
  <si>
    <t>Henkelraum</t>
  </si>
  <si>
    <t>Status</t>
  </si>
  <si>
    <t>eingelagert</t>
  </si>
  <si>
    <t>SPC-Lager</t>
  </si>
  <si>
    <t>verschrottet</t>
  </si>
  <si>
    <t>n.i.O. SPC-Lager</t>
  </si>
  <si>
    <t>stehen lassen</t>
  </si>
  <si>
    <t xml:space="preserve">stehen lassen für Hussmann </t>
  </si>
  <si>
    <t>im Einsatz</t>
  </si>
  <si>
    <t>im Einsatz für H-039 / xMT6</t>
  </si>
  <si>
    <t>Inputshaft
7L253</t>
  </si>
  <si>
    <t xml:space="preserve">für S.Schroll reserviert / an Promess verschickt </t>
  </si>
  <si>
    <t>im Einsatz für H-092 / m66</t>
  </si>
  <si>
    <t>S-068</t>
  </si>
  <si>
    <t>Sperrsynchronring 
Rw.Gang
7107</t>
  </si>
  <si>
    <t>Outputshaft
7061</t>
  </si>
  <si>
    <t>im Einsatz für H-081 / xMT6</t>
  </si>
  <si>
    <t>Festrad 3.Gang 7137    Festrad 4.Gang 7112</t>
  </si>
  <si>
    <t>Zahnrad 3.Gang 7M003/        Zahnrad 4.Gang 7M004</t>
  </si>
  <si>
    <t>verschrotten</t>
  </si>
  <si>
    <t>separat verschrotten</t>
  </si>
  <si>
    <t>Festrad 3.Gang
7144</t>
  </si>
  <si>
    <t>Kupplungsscheibe 7M157 Zwischenrad Rwg 7142</t>
  </si>
  <si>
    <t>Auch für xMT6...!!!</t>
  </si>
  <si>
    <t>stehen lassen Ring-Gear...!!!</t>
  </si>
  <si>
    <t>GERÄTE - TYP</t>
  </si>
  <si>
    <t>ANZAHL</t>
  </si>
  <si>
    <t xml:space="preserve">Gesamt: </t>
  </si>
  <si>
    <t>V5 Rechner</t>
  </si>
  <si>
    <t>Rechner</t>
  </si>
  <si>
    <t>28 Rechner eingelagert</t>
  </si>
  <si>
    <t>V4 Rechner</t>
  </si>
  <si>
    <t>13 Rechner verschrottet</t>
  </si>
  <si>
    <t>T5 Rechner</t>
  </si>
  <si>
    <t>SPC-2000 Rechner</t>
  </si>
  <si>
    <t>11 verschrottet / 7 eingelagert / 1 im Einsatz</t>
  </si>
  <si>
    <t>Reorg Rechner</t>
  </si>
  <si>
    <t>4 IBR</t>
  </si>
  <si>
    <r>
      <t xml:space="preserve">Achtung ! 
Tachokarte defekt
</t>
    </r>
    <r>
      <rPr>
        <sz val="9"/>
        <color indexed="10"/>
        <rFont val="Arial"/>
        <family val="2"/>
      </rPr>
      <t>Defekt, in Reperatur</t>
    </r>
  </si>
  <si>
    <t>ursprünglich MPS G-042</t>
  </si>
  <si>
    <t>Reserviert für Bogdan Piechatzek</t>
  </si>
  <si>
    <t>G-084</t>
  </si>
  <si>
    <t>KK2R-7106-DCA</t>
  </si>
  <si>
    <t>LK2R-7G334-AJC</t>
  </si>
  <si>
    <t>G-085</t>
  </si>
  <si>
    <t>H-04</t>
  </si>
  <si>
    <t>G-086</t>
  </si>
  <si>
    <t>V.Pfaff</t>
  </si>
  <si>
    <t>G-087</t>
  </si>
  <si>
    <t>I72626</t>
  </si>
  <si>
    <t>G-088</t>
  </si>
  <si>
    <t>LK2R-7061-AJC</t>
  </si>
  <si>
    <t>OG03026</t>
  </si>
  <si>
    <t>OG03027</t>
  </si>
  <si>
    <t>OG03025</t>
  </si>
  <si>
    <t>PRO</t>
  </si>
  <si>
    <t>MP 2.7.24
PP 2.3.20</t>
  </si>
  <si>
    <t>Touchscreen</t>
  </si>
  <si>
    <t>G-089</t>
  </si>
  <si>
    <t>war h-043</t>
  </si>
  <si>
    <t>E4</t>
  </si>
  <si>
    <t>Dez
19</t>
  </si>
  <si>
    <t>H6</t>
  </si>
  <si>
    <t>Defekt</t>
  </si>
  <si>
    <t>H-029 Defekt, muss zur Reparatur</t>
  </si>
  <si>
    <t>J.Stein (war g-080)</t>
  </si>
  <si>
    <t>G-090</t>
  </si>
  <si>
    <t>div-Output-div</t>
  </si>
  <si>
    <t>H-07</t>
  </si>
  <si>
    <t>J7</t>
  </si>
  <si>
    <t>Dez
20</t>
  </si>
  <si>
    <t>G-091</t>
  </si>
  <si>
    <t>KK2R-7M166-TCA</t>
  </si>
  <si>
    <t>MP 2.0.22
PP 2.3.20</t>
  </si>
  <si>
    <t>OG03021</t>
  </si>
  <si>
    <t>MTX
XMT6</t>
  </si>
  <si>
    <t>LAN</t>
  </si>
  <si>
    <t>ja</t>
  </si>
  <si>
    <t>WLAN</t>
  </si>
  <si>
    <t>Dez
19 L</t>
  </si>
  <si>
    <t>Aug
19 L</t>
  </si>
  <si>
    <t>20
60</t>
  </si>
  <si>
    <t>Sep
19 F</t>
  </si>
  <si>
    <t>Jan
20</t>
  </si>
  <si>
    <t>Nov
20</t>
  </si>
  <si>
    <t>KK2R-7M000-BCC</t>
  </si>
  <si>
    <t>NW-fähig</t>
  </si>
  <si>
    <t>MAC - Adresse</t>
  </si>
  <si>
    <t>Serien-Nr. USB</t>
  </si>
  <si>
    <t>3023037D8588</t>
  </si>
  <si>
    <t>13E10S09912738</t>
  </si>
  <si>
    <t>3023037D859A</t>
  </si>
  <si>
    <t>13E10S09912756</t>
  </si>
  <si>
    <t>3023037D8323</t>
  </si>
  <si>
    <t>13E10S09912125</t>
  </si>
  <si>
    <t>3023037D835F</t>
  </si>
  <si>
    <t>13E10S09912185</t>
  </si>
  <si>
    <t>3023037DBC6C</t>
  </si>
  <si>
    <t>13E10S0C900660</t>
  </si>
  <si>
    <t>3023037D8321</t>
  </si>
  <si>
    <t>13E10S09912123</t>
  </si>
  <si>
    <t>3023037D8393</t>
  </si>
  <si>
    <t>13E10S09912237</t>
  </si>
  <si>
    <t>3023037D832F</t>
  </si>
  <si>
    <t>13E10S09912137</t>
  </si>
  <si>
    <t>3023037D858D</t>
  </si>
  <si>
    <t>13E10S09912743</t>
  </si>
  <si>
    <t>3023037D843B</t>
  </si>
  <si>
    <t>13E10S09912405</t>
  </si>
  <si>
    <t>3023037DBC66</t>
  </si>
  <si>
    <t>13E10S0C900654</t>
  </si>
  <si>
    <t>3023037D38AA</t>
  </si>
  <si>
    <t>13E10S08903770</t>
  </si>
  <si>
    <t>WGC1003FSFF5J</t>
  </si>
  <si>
    <t>3023037D8526</t>
  </si>
  <si>
    <t>13E10S09912640</t>
  </si>
  <si>
    <t>3023037D38AB</t>
  </si>
  <si>
    <t>13E10S08903771</t>
  </si>
  <si>
    <t>3023037D8439</t>
  </si>
  <si>
    <t>13E10S09912403</t>
  </si>
  <si>
    <t>3023037D85A1</t>
  </si>
  <si>
    <t>13E10S09912763</t>
  </si>
  <si>
    <t>3023037D3795</t>
  </si>
  <si>
    <t>13E10S08903493</t>
  </si>
  <si>
    <t>3023037DBC37</t>
  </si>
  <si>
    <t>13E10S0C900607</t>
  </si>
  <si>
    <t>3023037DBC2C</t>
  </si>
  <si>
    <t>13E10S0C900596</t>
  </si>
  <si>
    <t>3023037DBC3A</t>
  </si>
  <si>
    <t>13E10S0C900610</t>
  </si>
  <si>
    <t>3023037DBC79</t>
  </si>
  <si>
    <t>13E10S0C900673</t>
  </si>
  <si>
    <t>3023037DBC22</t>
  </si>
  <si>
    <t>13E10S0C900586</t>
  </si>
  <si>
    <t>3023037DBC5B</t>
  </si>
  <si>
    <t>13E10S0C900643</t>
  </si>
  <si>
    <t>3023037DBC68</t>
  </si>
  <si>
    <t>13E10S0C900656</t>
  </si>
  <si>
    <t>3023037DBC73</t>
  </si>
  <si>
    <t>13E10S0C900667</t>
  </si>
  <si>
    <t>3023037DBC59</t>
  </si>
  <si>
    <t>13E10S0C900641</t>
  </si>
  <si>
    <t>3023037DBCA6</t>
  </si>
  <si>
    <t>13E10S0C900718</t>
  </si>
  <si>
    <t>3023037DBD0D</t>
  </si>
  <si>
    <t>13E10S0C900821</t>
  </si>
  <si>
    <t>3023037DBCD0</t>
  </si>
  <si>
    <t>13E10S0C900760</t>
  </si>
  <si>
    <t>3023037DBC1E</t>
  </si>
  <si>
    <t>13E10S0C900582</t>
  </si>
  <si>
    <t>3023037DBCF4</t>
  </si>
  <si>
    <t>13E10S0C900796</t>
  </si>
  <si>
    <t>3023037DBCF9</t>
  </si>
  <si>
    <t>13E10S0C900801</t>
  </si>
  <si>
    <t>W7</t>
  </si>
  <si>
    <t>3023037DBC51</t>
  </si>
  <si>
    <t>13E10S0C900633</t>
  </si>
  <si>
    <t>3023037DBC7B</t>
  </si>
  <si>
    <t>13E10S0C900675</t>
  </si>
  <si>
    <t>3023037DBD16</t>
  </si>
  <si>
    <t>13E10S0C900830</t>
  </si>
  <si>
    <t>3023037DBC63</t>
  </si>
  <si>
    <t>13E10S0C900651</t>
  </si>
  <si>
    <t>3023037DBC49</t>
  </si>
  <si>
    <t>13E10S0C900625</t>
  </si>
  <si>
    <t>W10</t>
  </si>
  <si>
    <t>3023037DBC4A</t>
  </si>
  <si>
    <t>13E10S0C900626</t>
  </si>
  <si>
    <t>3023037DBCE2</t>
  </si>
  <si>
    <t>13E10S0C900778</t>
  </si>
  <si>
    <t>3023037DBC7F</t>
  </si>
  <si>
    <t>13E10S0C900679</t>
  </si>
  <si>
    <t>F-09</t>
  </si>
  <si>
    <t>K018</t>
  </si>
  <si>
    <t>3023037DBC77</t>
  </si>
  <si>
    <t>13E10S0C900671</t>
  </si>
  <si>
    <t>3023037DBC8E</t>
  </si>
  <si>
    <t>13E10S0C900694</t>
  </si>
  <si>
    <t>3023037DBC97</t>
  </si>
  <si>
    <t>13E10S0C900703</t>
  </si>
  <si>
    <t>SPC47378</t>
  </si>
  <si>
    <t>SPC27616</t>
  </si>
  <si>
    <t>SPC46318</t>
  </si>
  <si>
    <t>SPC29951</t>
  </si>
  <si>
    <t>SPC46319</t>
  </si>
  <si>
    <t>SPC48822</t>
  </si>
  <si>
    <t>SPC46214</t>
  </si>
  <si>
    <t>SPC47375</t>
  </si>
  <si>
    <t>SPC46317</t>
  </si>
  <si>
    <t>SPC42095</t>
  </si>
  <si>
    <t>SPC41903</t>
  </si>
  <si>
    <t>SPC41898</t>
  </si>
  <si>
    <t>SPC28580</t>
  </si>
  <si>
    <t>SPC46316</t>
  </si>
  <si>
    <t>SPC46856</t>
  </si>
  <si>
    <t>SPC47120</t>
  </si>
  <si>
    <t>SPC29283</t>
  </si>
  <si>
    <t>SPC34644</t>
  </si>
  <si>
    <t>SPC33980</t>
  </si>
  <si>
    <t>SPC28574</t>
  </si>
  <si>
    <t>SPC47098</t>
  </si>
  <si>
    <t>SPC29836</t>
  </si>
  <si>
    <t>SPC36104</t>
  </si>
  <si>
    <t>SPC28587</t>
  </si>
  <si>
    <t>SPC46115</t>
  </si>
  <si>
    <t>SPC46985</t>
  </si>
  <si>
    <t>SPC29672</t>
  </si>
  <si>
    <t>SPC48211</t>
  </si>
  <si>
    <t>SPC31656</t>
  </si>
  <si>
    <t>SPC47119</t>
  </si>
  <si>
    <t>SPC34775</t>
  </si>
  <si>
    <t>SPC33976</t>
  </si>
  <si>
    <t>SPC36105</t>
  </si>
  <si>
    <t>SPC36132</t>
  </si>
  <si>
    <t>SPC29735</t>
  </si>
  <si>
    <t>SPC36131</t>
  </si>
  <si>
    <t>SPC28584</t>
  </si>
  <si>
    <t>SPC44306</t>
  </si>
  <si>
    <t>SPC46984</t>
  </si>
  <si>
    <t>SPC31584</t>
  </si>
  <si>
    <t>SPC47430</t>
  </si>
  <si>
    <t>SPC47432</t>
  </si>
  <si>
    <t>SPC47097</t>
  </si>
  <si>
    <t>SPC47377</t>
  </si>
  <si>
    <t>SPC48477</t>
  </si>
  <si>
    <t>SPC48214</t>
  </si>
  <si>
    <t>SPC48210</t>
  </si>
  <si>
    <t>SPC48481</t>
  </si>
  <si>
    <t>SPC48213</t>
  </si>
  <si>
    <t>SPC46315</t>
  </si>
  <si>
    <t>SPC47379</t>
  </si>
  <si>
    <t>SPC48480</t>
  </si>
  <si>
    <t>SPC41901</t>
  </si>
  <si>
    <t>SPC48821</t>
  </si>
  <si>
    <t>SPC48212</t>
  </si>
  <si>
    <t>SPC48479</t>
  </si>
  <si>
    <t>Hostname</t>
  </si>
  <si>
    <t>SPC47376</t>
  </si>
  <si>
    <t>SPC45915</t>
  </si>
  <si>
    <t>Jan
21</t>
  </si>
  <si>
    <r>
      <t xml:space="preserve">MP 2.0.18
</t>
    </r>
    <r>
      <rPr>
        <u/>
        <sz val="9"/>
        <rFont val="Arial"/>
        <family val="2"/>
      </rPr>
      <t>PP 2.3.15</t>
    </r>
  </si>
  <si>
    <t>IBB</t>
  </si>
  <si>
    <t>W2K</t>
  </si>
  <si>
    <t>FG04162</t>
  </si>
  <si>
    <t>IBB-1</t>
  </si>
  <si>
    <t>FG04158</t>
  </si>
  <si>
    <t>IBB-2</t>
  </si>
  <si>
    <t>91a</t>
  </si>
  <si>
    <t>NGGTREXOSIBB2</t>
  </si>
  <si>
    <t>EC086B435BE0</t>
  </si>
  <si>
    <t>SPC36106</t>
  </si>
  <si>
    <t>3023037D85A2</t>
  </si>
  <si>
    <t>13E10S09912764</t>
  </si>
  <si>
    <t>L-03</t>
  </si>
  <si>
    <t>NGGTREXOSIBB1</t>
  </si>
  <si>
    <t>H-4</t>
  </si>
  <si>
    <t>3023037D8436</t>
  </si>
  <si>
    <t>13E10S09912400</t>
  </si>
  <si>
    <t>13E10S0C900716</t>
  </si>
  <si>
    <t>3023037DBC53</t>
  </si>
  <si>
    <t>SPC36267</t>
  </si>
  <si>
    <t>‎6C198F9387DE</t>
  </si>
  <si>
    <t>‎D8FEE340EF7D</t>
  </si>
  <si>
    <t>13E10S0C900635</t>
  </si>
  <si>
    <t>3023037DBCA4</t>
  </si>
  <si>
    <t>18A6F73050B5</t>
  </si>
  <si>
    <t>ACF1DF86710D</t>
  </si>
  <si>
    <t>SPC33978</t>
  </si>
  <si>
    <t>3023037DBC2B</t>
  </si>
  <si>
    <t>13E10S0C900595</t>
  </si>
  <si>
    <t>3023037DBD24</t>
  </si>
  <si>
    <t>13E10S0C900844</t>
  </si>
  <si>
    <t>ACF1DF867062</t>
  </si>
  <si>
    <t>ACF1DF867111</t>
  </si>
  <si>
    <t>ACF1DF867021</t>
  </si>
  <si>
    <t>D8FEE340EFBE</t>
  </si>
  <si>
    <t>EC086B435ED2</t>
  </si>
  <si>
    <t>18A6F73045C8</t>
  </si>
  <si>
    <t>SPC36113</t>
  </si>
  <si>
    <t>3023037DBC47</t>
  </si>
  <si>
    <t>13E10S0C900623</t>
  </si>
  <si>
    <t>18A6F73047DC</t>
  </si>
  <si>
    <t>3023037DBC60</t>
  </si>
  <si>
    <t>13E10S0C900648</t>
  </si>
  <si>
    <t>SPC29674</t>
  </si>
  <si>
    <t>3023037DBCF6</t>
  </si>
  <si>
    <t>13E10S0C900798</t>
  </si>
  <si>
    <t>SPC31526</t>
  </si>
  <si>
    <t>3023037DBC72</t>
  </si>
  <si>
    <t>13E10S0C900666</t>
  </si>
  <si>
    <t>EC086B7A3596</t>
  </si>
  <si>
    <t>EC086BA09555</t>
  </si>
  <si>
    <t>SPC46629</t>
  </si>
  <si>
    <t>3023037DBC50</t>
  </si>
  <si>
    <t>SPC31917</t>
  </si>
  <si>
    <t>3023037DBCD1</t>
  </si>
  <si>
    <t>3023037DBD04</t>
  </si>
  <si>
    <t>SPC33973</t>
  </si>
  <si>
    <t>3023037DBD3D</t>
  </si>
  <si>
    <t>SPC34643</t>
  </si>
  <si>
    <t>3023037DBC32</t>
  </si>
  <si>
    <t>13E10S0C900761</t>
  </si>
  <si>
    <t>13E10S0C900632</t>
  </si>
  <si>
    <t>13E10S0C900812</t>
  </si>
  <si>
    <t>13E10S0C900869</t>
  </si>
  <si>
    <t>13E10S0C900602</t>
  </si>
  <si>
    <t>3023037DBC2F</t>
  </si>
  <si>
    <t>13E10S0C900599</t>
  </si>
  <si>
    <t>SPC47433</t>
  </si>
  <si>
    <t>3023037DBD34</t>
  </si>
  <si>
    <t>13E10S0C900860</t>
  </si>
  <si>
    <t>SPC30979</t>
  </si>
  <si>
    <t>3023037DBD14</t>
  </si>
  <si>
    <t>13E10S0C900828</t>
  </si>
  <si>
    <t>nggTrexOSPromess</t>
  </si>
  <si>
    <t>SPC33917</t>
  </si>
  <si>
    <t>3023037DBCD8</t>
  </si>
  <si>
    <t>13E10S0C900768</t>
  </si>
  <si>
    <t>3023037DBC2D</t>
  </si>
  <si>
    <t>13E10S0C900597</t>
  </si>
  <si>
    <t>SPC46628</t>
  </si>
  <si>
    <t>3023037DBC3D</t>
  </si>
  <si>
    <t>13E10S0C900613</t>
  </si>
  <si>
    <t>L-09</t>
  </si>
  <si>
    <t>54BF647271A4</t>
  </si>
  <si>
    <t>3023037DBC4B</t>
  </si>
  <si>
    <t>13E10S0C900627</t>
  </si>
  <si>
    <t>00031D128401</t>
  </si>
  <si>
    <t>G-095</t>
  </si>
  <si>
    <t>54BF64726F5E</t>
  </si>
  <si>
    <t>SPC46477</t>
  </si>
  <si>
    <t>3023037DBC95</t>
  </si>
  <si>
    <t>3023037DBD47</t>
  </si>
  <si>
    <t>SPC48151</t>
  </si>
  <si>
    <t>SPC48153</t>
  </si>
  <si>
    <t>SPC48154</t>
  </si>
  <si>
    <t>3023037DBD68</t>
  </si>
  <si>
    <t>D8FEE340EF4F</t>
  </si>
  <si>
    <t>3023037DBC25</t>
  </si>
  <si>
    <t>13E10S0C900912</t>
  </si>
  <si>
    <t>13E10S0C900879</t>
  </si>
  <si>
    <t>SPC47122</t>
  </si>
  <si>
    <t>Zahnrad 6./4./1./5Gang
7M197/7M164//7M1617M005/7M165</t>
  </si>
  <si>
    <t>Zahnrad 3./Rw./2./Gang
7M163/7M006/7K013/7M162/7M002</t>
  </si>
  <si>
    <t>Datenaufzeichnung</t>
  </si>
  <si>
    <t>SPC48478</t>
  </si>
  <si>
    <t>3023037DBCE7</t>
  </si>
  <si>
    <t>13E19S0C900783</t>
  </si>
  <si>
    <t>Datenmanager wegen
Fehler gestoppt</t>
  </si>
  <si>
    <t xml:space="preserve">Adapter 1150441 für
Inkremental / Tacho </t>
  </si>
  <si>
    <t>L-06</t>
  </si>
  <si>
    <t>K-0</t>
  </si>
  <si>
    <t>T-050</t>
  </si>
  <si>
    <t>L-0</t>
  </si>
  <si>
    <t xml:space="preserve">Kupplungsscheibe                  ag9r-7m157-acb                  g9r-7m157-bcb </t>
  </si>
  <si>
    <t>H-0</t>
  </si>
  <si>
    <t>IBR/ INK</t>
  </si>
  <si>
    <t>40</t>
  </si>
  <si>
    <t>E-03</t>
  </si>
  <si>
    <t>F-12</t>
  </si>
  <si>
    <t>Antenne</t>
  </si>
  <si>
    <t>M-3</t>
  </si>
  <si>
    <t>J/L-6</t>
  </si>
  <si>
    <t>K-021</t>
  </si>
  <si>
    <t>L-019</t>
  </si>
  <si>
    <t>E-06</t>
  </si>
  <si>
    <t>D-06</t>
  </si>
  <si>
    <t>L-2</t>
  </si>
  <si>
    <t>L-05</t>
  </si>
  <si>
    <t>AWB6d</t>
  </si>
  <si>
    <t>13E10S0C900589</t>
  </si>
  <si>
    <t>B-08</t>
  </si>
  <si>
    <t>B-012</t>
  </si>
  <si>
    <t>B-07</t>
  </si>
  <si>
    <t>B-0</t>
  </si>
  <si>
    <t>F-2</t>
  </si>
  <si>
    <t>13E10S0C900701</t>
  </si>
  <si>
    <t>B-2</t>
  </si>
  <si>
    <t>3023037DBC2E</t>
  </si>
  <si>
    <t>13E10S0C900598</t>
  </si>
  <si>
    <t>Antriebswelle                         7L253</t>
  </si>
  <si>
    <t>3023037DBCEF</t>
  </si>
  <si>
    <t>13E10S0C900791</t>
  </si>
  <si>
    <t>3023037DBE20</t>
  </si>
  <si>
    <t>13E10S0C901096</t>
  </si>
  <si>
    <t>3023037DBD2B</t>
  </si>
  <si>
    <t>13E10S0C900851</t>
  </si>
  <si>
    <t>H-09</t>
  </si>
  <si>
    <t>3023037DBC67</t>
  </si>
  <si>
    <t>13E10S0C900655</t>
  </si>
  <si>
    <t>3023037DBE17</t>
  </si>
  <si>
    <t>13E10S0C901087</t>
  </si>
  <si>
    <t>SPC33916</t>
  </si>
  <si>
    <t>3023037DBCEB</t>
  </si>
  <si>
    <t>13E10S0C900787</t>
  </si>
  <si>
    <t>T-100</t>
  </si>
  <si>
    <t>Schweißnahtüberprüfung 
Manuelle Dateneingabe</t>
  </si>
  <si>
    <t>K-09</t>
  </si>
  <si>
    <t>Labor</t>
  </si>
  <si>
    <t>200/260</t>
  </si>
  <si>
    <t>!!!T-Rex Auslauf!!!</t>
  </si>
  <si>
    <t>Auf Bühne bei Räummaschinen</t>
  </si>
  <si>
    <t>3023037DBC40</t>
  </si>
  <si>
    <t>13E10S0C900629</t>
  </si>
  <si>
    <t>SPC48150</t>
  </si>
  <si>
    <t>SPC47384</t>
  </si>
  <si>
    <t>3023037DBBE3</t>
  </si>
  <si>
    <t>13E10SOC900523</t>
  </si>
  <si>
    <t>SPC47437</t>
  </si>
  <si>
    <t>3023037DBDC3</t>
  </si>
  <si>
    <t>13E10SOC901003</t>
  </si>
  <si>
    <t>SPC47049</t>
  </si>
  <si>
    <t>3023037DBCAE</t>
  </si>
  <si>
    <t>13E10S0C900726</t>
  </si>
  <si>
    <t>SPC34776</t>
  </si>
  <si>
    <t>3023037DBCDE</t>
  </si>
  <si>
    <t>13E10S0C900774</t>
  </si>
  <si>
    <t>13E10S0C900715</t>
  </si>
  <si>
    <t>3023037DBCA3</t>
  </si>
  <si>
    <t>SPC30448</t>
  </si>
  <si>
    <t>Keller</t>
  </si>
  <si>
    <t>IBR geht nicht</t>
  </si>
  <si>
    <t>H-1</t>
  </si>
  <si>
    <t>W-LAN</t>
  </si>
  <si>
    <t>FG 01675</t>
  </si>
  <si>
    <t>FG 01674</t>
  </si>
  <si>
    <t>KK2R-7M000-ACB/BCC</t>
  </si>
  <si>
    <t>SPC30547</t>
  </si>
  <si>
    <t>DG 00548</t>
  </si>
  <si>
    <t>Schaltgabelmessung</t>
  </si>
  <si>
    <t>FG 01681</t>
  </si>
  <si>
    <t>DG 00547</t>
  </si>
  <si>
    <t>FG 01676</t>
  </si>
  <si>
    <t>OG 02935</t>
  </si>
  <si>
    <t>OG 02937</t>
  </si>
  <si>
    <t>DG 00797</t>
  </si>
  <si>
    <t>OG 02936</t>
  </si>
  <si>
    <t>DG 00816</t>
  </si>
  <si>
    <t>DG 00600</t>
  </si>
  <si>
    <t>DG 00819</t>
  </si>
  <si>
    <t>Post Process</t>
  </si>
  <si>
    <t>DG 00824</t>
  </si>
  <si>
    <t>FG 03084</t>
  </si>
  <si>
    <t>DG 00820</t>
  </si>
  <si>
    <t>Kanal 13-16 defekt</t>
  </si>
  <si>
    <t>OG 01077-3</t>
  </si>
  <si>
    <t>DG 00321</t>
  </si>
  <si>
    <t>OG 02949</t>
  </si>
  <si>
    <t>OG 02874</t>
  </si>
  <si>
    <t>OG 02951</t>
  </si>
  <si>
    <t>OG 02948</t>
  </si>
  <si>
    <t>OG 02950</t>
  </si>
  <si>
    <t>OG 02866</t>
  </si>
  <si>
    <t>OG 02864</t>
  </si>
  <si>
    <t>OG 02867</t>
  </si>
  <si>
    <t>DG 00603</t>
  </si>
  <si>
    <t>DG 00606</t>
  </si>
  <si>
    <t>OG 02875</t>
  </si>
  <si>
    <t>OG 03026</t>
  </si>
  <si>
    <t>DG 00607</t>
  </si>
  <si>
    <t>OG 01077-12</t>
  </si>
  <si>
    <t>OG 01077-5</t>
  </si>
  <si>
    <t>FG 01125</t>
  </si>
  <si>
    <t>OG 03025</t>
  </si>
  <si>
    <t>FG 01679</t>
  </si>
  <si>
    <t>DG 00501</t>
  </si>
  <si>
    <t>DG 00491</t>
  </si>
  <si>
    <t>DG 00671</t>
  </si>
  <si>
    <t>DG 00616</t>
  </si>
  <si>
    <t>DG 00608</t>
  </si>
  <si>
    <t>DG 00669</t>
  </si>
  <si>
    <t>OG 02865</t>
  </si>
  <si>
    <t>DG 00263</t>
  </si>
  <si>
    <t>DG 00435</t>
  </si>
  <si>
    <t>FG 00743</t>
  </si>
  <si>
    <t>OG 02868</t>
  </si>
  <si>
    <t>FG 01667</t>
  </si>
  <si>
    <t>DG 01077-8</t>
  </si>
  <si>
    <t>DG 00489</t>
  </si>
  <si>
    <t>DG 00500</t>
  </si>
  <si>
    <t>DG 00320</t>
  </si>
  <si>
    <t>DG 00433</t>
  </si>
  <si>
    <t>DG 00302</t>
  </si>
  <si>
    <t>PP</t>
  </si>
  <si>
    <t>MG 00028</t>
  </si>
  <si>
    <t>DG 00817</t>
  </si>
  <si>
    <t>MG 00086</t>
  </si>
  <si>
    <t>DG 00827</t>
  </si>
  <si>
    <t>MG 00085</t>
  </si>
  <si>
    <t>MG 00031</t>
  </si>
  <si>
    <t>MG 00087</t>
  </si>
  <si>
    <t>E-09</t>
  </si>
  <si>
    <t>MG 00435</t>
  </si>
  <si>
    <t>E-08</t>
  </si>
  <si>
    <t>DG 00605</t>
  </si>
  <si>
    <t>MG 00088</t>
  </si>
  <si>
    <t>DG 00825</t>
  </si>
  <si>
    <t>MG 00040</t>
  </si>
  <si>
    <t>MG 00366</t>
  </si>
  <si>
    <t>D-08</t>
  </si>
  <si>
    <t>FG 01677</t>
  </si>
  <si>
    <t>MG 00294</t>
  </si>
  <si>
    <t>MG 00039</t>
  </si>
  <si>
    <t>MK 18807</t>
  </si>
  <si>
    <t>MK 20322</t>
  </si>
  <si>
    <t>DG 00821</t>
  </si>
  <si>
    <t>MK 18660</t>
  </si>
  <si>
    <t>MK 20277</t>
  </si>
  <si>
    <t>DG 00826</t>
  </si>
  <si>
    <t>MK 18804</t>
  </si>
  <si>
    <t>G-0</t>
  </si>
  <si>
    <t>DG 00823</t>
  </si>
  <si>
    <t>MK 18662</t>
  </si>
  <si>
    <t>G-3</t>
  </si>
  <si>
    <t>MG 00090</t>
  </si>
  <si>
    <t>D-8</t>
  </si>
  <si>
    <t>OG 02664</t>
  </si>
  <si>
    <t>OP 1100</t>
  </si>
  <si>
    <t>OG 02665</t>
  </si>
  <si>
    <t>OP 1105</t>
  </si>
  <si>
    <t>OG 02666</t>
  </si>
  <si>
    <t>Shim</t>
  </si>
  <si>
    <t>OG 02869</t>
  </si>
  <si>
    <t>FG 03365</t>
  </si>
  <si>
    <t>FG 03572</t>
  </si>
  <si>
    <t>FG 03564</t>
  </si>
  <si>
    <t>FG 03565</t>
  </si>
  <si>
    <t>FG 03566</t>
  </si>
  <si>
    <t>FG 03567</t>
  </si>
  <si>
    <t>FG 03568</t>
  </si>
  <si>
    <t>FG 03569</t>
  </si>
  <si>
    <t>DG 00859</t>
  </si>
  <si>
    <t>FG 03570</t>
  </si>
  <si>
    <t>FG 03571</t>
  </si>
  <si>
    <t>DG 00855</t>
  </si>
  <si>
    <t>DG 00856</t>
  </si>
  <si>
    <t>DG 00857</t>
  </si>
  <si>
    <t>DG 00858</t>
  </si>
  <si>
    <t>OG 03027</t>
  </si>
  <si>
    <t>OG 02986</t>
  </si>
  <si>
    <t>OG 02987</t>
  </si>
  <si>
    <t>OG 02988</t>
  </si>
  <si>
    <t>OG 02989</t>
  </si>
  <si>
    <t>OG 02990</t>
  </si>
  <si>
    <t>SPC47126</t>
  </si>
  <si>
    <t>SPC47125</t>
  </si>
  <si>
    <t>SPC28575</t>
  </si>
  <si>
    <t>SPC48149</t>
  </si>
  <si>
    <t>Hat IBR, braucht aber nicht</t>
  </si>
  <si>
    <t>SPC47911</t>
  </si>
  <si>
    <t>Zu alt für IBR / W-Lan</t>
  </si>
  <si>
    <t>SPC37343</t>
  </si>
  <si>
    <t>SPC47123</t>
  </si>
  <si>
    <t>P-003</t>
  </si>
  <si>
    <t>P-133</t>
  </si>
  <si>
    <t>P-129</t>
  </si>
  <si>
    <t>P-004</t>
  </si>
  <si>
    <t>P-136</t>
  </si>
  <si>
    <t>P-070</t>
  </si>
  <si>
    <t>P-049</t>
  </si>
  <si>
    <t>P-046</t>
  </si>
  <si>
    <t>P-110</t>
  </si>
  <si>
    <t>P-109</t>
  </si>
  <si>
    <t>P-019</t>
  </si>
  <si>
    <t>DG 00822</t>
  </si>
  <si>
    <t>MK 18663</t>
  </si>
  <si>
    <t xml:space="preserve"> KK2R-7M157-FCA</t>
  </si>
  <si>
    <t>Mit Profibus</t>
  </si>
  <si>
    <t>Fischer</t>
  </si>
  <si>
    <t>Montage</t>
  </si>
  <si>
    <t>Weisser</t>
  </si>
  <si>
    <t>P-134</t>
  </si>
  <si>
    <t>SPC29794</t>
  </si>
  <si>
    <t>SPC41895</t>
  </si>
  <si>
    <t>SPC33981</t>
  </si>
  <si>
    <t>SPC36269</t>
  </si>
  <si>
    <t>SPC47431</t>
  </si>
  <si>
    <t>!!eigentliche SN:34733!!</t>
  </si>
  <si>
    <t>SPC47121</t>
  </si>
  <si>
    <t>Messkarte intern Defekt!!!</t>
  </si>
  <si>
    <t>DG 00670</t>
  </si>
  <si>
    <t>SPC37340</t>
  </si>
  <si>
    <t>SPC28586</t>
  </si>
  <si>
    <t>OG 01077_10</t>
  </si>
  <si>
    <t>P-128</t>
  </si>
  <si>
    <t>Man kann nix messen</t>
  </si>
  <si>
    <t>Fährt nicht mehr hoch</t>
  </si>
  <si>
    <t>Datenmanager defekt</t>
  </si>
  <si>
    <t>Nur Daten auf Desktop</t>
  </si>
  <si>
    <t>SPC46944</t>
  </si>
  <si>
    <t>Ehemals G-017</t>
  </si>
  <si>
    <t>Mit Mahr verbunden</t>
  </si>
  <si>
    <t>Green Gate korrekt</t>
  </si>
  <si>
    <t>gecheckt + korrekt</t>
  </si>
  <si>
    <t>falsche Seriennummer</t>
  </si>
  <si>
    <t>angeblich keine buchhaltungsnummer</t>
  </si>
  <si>
    <t>falsche Serienummer, falsche buchhaltungsnummer</t>
  </si>
  <si>
    <t>hat angeblich eine Buchhaltungsnummer</t>
  </si>
  <si>
    <t>Buchhaltungsnummer?</t>
  </si>
  <si>
    <t>Green Gate O.K.</t>
  </si>
  <si>
    <t>falsche Serienummer, keine buchhaltungsnummer</t>
  </si>
  <si>
    <t>keine Seriennummer, falsche Buchhaltungsnummer</t>
  </si>
  <si>
    <t>keine Seriennummer</t>
  </si>
  <si>
    <t>falsche Buchhaltungsnummer</t>
  </si>
  <si>
    <t>keine Buchhaltungsnummer</t>
  </si>
  <si>
    <t>kein Buchhaltungsnummer</t>
  </si>
  <si>
    <t>Green Gate richtig</t>
  </si>
  <si>
    <t>falsche buchhaltung, falsche seriennummer</t>
  </si>
  <si>
    <t>falsche seriennummer, falsche buchhaltung</t>
  </si>
  <si>
    <t>SPC47365</t>
  </si>
  <si>
    <t>OG 02641</t>
  </si>
  <si>
    <t>nicht vorhanden</t>
  </si>
  <si>
    <t>SPC47439</t>
  </si>
  <si>
    <t xml:space="preserve"> Von Promess als Netbox-Versuch genutzt</t>
  </si>
  <si>
    <t>SPC47382</t>
  </si>
  <si>
    <t>Zahnrad 3.Gang / Zahnrad 4./6. Gang</t>
  </si>
  <si>
    <t>5.Zahrad 7144/7L353</t>
  </si>
  <si>
    <t>Zahnrad 1./5./Rwg.
7100/7K316/7K013</t>
  </si>
  <si>
    <t>P-130</t>
  </si>
  <si>
    <t>P-131</t>
  </si>
  <si>
    <t>P-127</t>
  </si>
  <si>
    <t>P-132</t>
  </si>
  <si>
    <t>P-053</t>
  </si>
  <si>
    <t>P-135</t>
  </si>
  <si>
    <t>Hotkey ausser Funktion</t>
  </si>
  <si>
    <t>SPC36268</t>
  </si>
  <si>
    <t>SPC35276</t>
  </si>
  <si>
    <t>SPC34774</t>
  </si>
  <si>
    <t>SPC29792</t>
  </si>
  <si>
    <t>SPC29796</t>
  </si>
  <si>
    <t>SPC29671</t>
  </si>
  <si>
    <t>SPC41897</t>
  </si>
  <si>
    <t>keine Daten abziehen weil Minor!!!</t>
  </si>
  <si>
    <t>SPC29788</t>
  </si>
  <si>
    <t>DG 00247</t>
  </si>
  <si>
    <t>SPC47366</t>
  </si>
  <si>
    <t xml:space="preserve">KK2R-7M157-FCA KK2R-7M157-CCB </t>
  </si>
  <si>
    <t>SPC39829</t>
  </si>
  <si>
    <t>div-7l253-div</t>
  </si>
  <si>
    <t>G-05</t>
  </si>
  <si>
    <t>SPC46945</t>
  </si>
  <si>
    <t>Datenmanager umgestellt</t>
  </si>
  <si>
    <t>SPC47434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</si>
</sst>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sz val="10"/>
      <name val="Webdings"/>
      <family val="1"/>
      <charset val="2"/>
    </font>
    <font>
      <b/>
      <sz val="16"/>
      <name val="Arial"/>
      <family val="2"/>
    </font>
    <font>
      <sz val="16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MS Sans Serif"/>
      <family val="2"/>
    </font>
    <font>
      <b/>
      <sz val="10"/>
      <name val="MS Sans Serif"/>
    </font>
    <font>
      <b/>
      <u/>
      <sz val="14"/>
      <name val="Arial"/>
      <family val="2"/>
    </font>
    <font>
      <b/>
      <sz val="14"/>
      <name val="Arial"/>
      <family val="2"/>
    </font>
    <font>
      <b/>
      <u/>
      <sz val="18"/>
      <name val="Arial"/>
      <family val="2"/>
    </font>
    <font>
      <sz val="9"/>
      <color indexed="10"/>
      <name val="Arial"/>
      <family val="2"/>
    </font>
    <font>
      <sz val="11"/>
      <name val="Arial"/>
      <family val="2"/>
    </font>
    <font>
      <sz val="11"/>
      <name val="MS Sans Serif"/>
      <family val="2"/>
    </font>
    <font>
      <sz val="11"/>
      <name val="Webdings"/>
      <family val="1"/>
      <charset val="2"/>
    </font>
    <font>
      <b/>
      <sz val="8"/>
      <name val="Arial"/>
      <family val="2"/>
    </font>
    <font>
      <u/>
      <sz val="9"/>
      <name val="Arial"/>
      <family val="2"/>
    </font>
    <font>
      <b/>
      <sz val="9"/>
      <color rgb="FFFF0000"/>
      <name val="Arial"/>
      <family val="2"/>
    </font>
    <font>
      <sz val="9"/>
      <color rgb="FFFF0000"/>
      <name val="Arial"/>
      <family val="2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316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wrapText="1"/>
    </xf>
    <xf numFmtId="49" fontId="0" fillId="0" borderId="0" xfId="0" applyNumberFormat="1" applyAlignment="1">
      <alignment horizontal="center"/>
    </xf>
    <xf numFmtId="0" fontId="6" fillId="0" borderId="0" xfId="0" applyFont="1"/>
    <xf numFmtId="0" fontId="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/>
    </xf>
    <xf numFmtId="0" fontId="2" fillId="3" borderId="5" xfId="0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1" fillId="3" borderId="0" xfId="0" applyFont="1" applyFill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10" fillId="0" borderId="0" xfId="0" applyFont="1" applyAlignment="1">
      <alignment horizontal="center" wrapText="1"/>
    </xf>
    <xf numFmtId="49" fontId="11" fillId="0" borderId="0" xfId="0" applyNumberFormat="1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7" fillId="10" borderId="2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4" fillId="0" borderId="0" xfId="0" applyFont="1"/>
    <xf numFmtId="0" fontId="5" fillId="11" borderId="0" xfId="0" applyFont="1" applyFill="1"/>
    <xf numFmtId="0" fontId="3" fillId="0" borderId="1" xfId="0" applyFont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4" fillId="5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20" xfId="0" applyFont="1" applyBorder="1" applyAlignment="1">
      <alignment vertical="center"/>
    </xf>
    <xf numFmtId="0" fontId="26" fillId="0" borderId="6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13" borderId="1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 wrapText="1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0" fontId="2" fillId="13" borderId="17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5" fillId="14" borderId="10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/>
    </xf>
    <xf numFmtId="0" fontId="2" fillId="14" borderId="17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4" borderId="6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 wrapText="1"/>
    </xf>
    <xf numFmtId="49" fontId="2" fillId="14" borderId="5" xfId="0" applyNumberFormat="1" applyFont="1" applyFill="1" applyBorder="1" applyAlignment="1">
      <alignment horizontal="center" vertical="center" wrapText="1"/>
    </xf>
    <xf numFmtId="0" fontId="2" fillId="14" borderId="4" xfId="0" applyFont="1" applyFill="1" applyBorder="1" applyAlignment="1">
      <alignment horizontal="center" vertical="center"/>
    </xf>
    <xf numFmtId="0" fontId="3" fillId="14" borderId="6" xfId="0" applyFont="1" applyFill="1" applyBorder="1" applyAlignment="1">
      <alignment horizontal="center" vertical="center" wrapText="1"/>
    </xf>
    <xf numFmtId="0" fontId="2" fillId="14" borderId="5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5" fillId="14" borderId="11" xfId="0" applyFont="1" applyFill="1" applyBorder="1" applyAlignment="1">
      <alignment horizontal="center" vertical="center"/>
    </xf>
    <xf numFmtId="0" fontId="2" fillId="14" borderId="18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0" borderId="17" xfId="0" applyFont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5" fillId="12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13" borderId="5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1" fillId="8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49" fontId="1" fillId="13" borderId="0" xfId="0" applyNumberFormat="1" applyFont="1" applyFill="1" applyAlignment="1">
      <alignment horizontal="center" vertical="center"/>
    </xf>
    <xf numFmtId="49" fontId="1" fillId="15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19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49" fontId="1" fillId="3" borderId="0" xfId="0" applyNumberFormat="1" applyFont="1" applyFill="1" applyAlignment="1">
      <alignment horizontal="center" vertical="center"/>
    </xf>
    <xf numFmtId="49" fontId="0" fillId="3" borderId="0" xfId="0" applyNumberFormat="1" applyFill="1" applyAlignment="1">
      <alignment horizontal="center"/>
    </xf>
    <xf numFmtId="49" fontId="2" fillId="13" borderId="5" xfId="0" applyNumberFormat="1" applyFont="1" applyFill="1" applyBorder="1" applyAlignment="1">
      <alignment horizontal="center" vertical="center" wrapText="1"/>
    </xf>
    <xf numFmtId="0" fontId="3" fillId="14" borderId="7" xfId="0" applyFont="1" applyFill="1" applyBorder="1" applyAlignment="1">
      <alignment horizontal="center" vertical="center" wrapText="1"/>
    </xf>
    <xf numFmtId="0" fontId="7" fillId="14" borderId="3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7" fillId="14" borderId="18" xfId="0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49" fontId="21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49" fontId="21" fillId="3" borderId="1" xfId="0" applyNumberFormat="1" applyFont="1" applyFill="1" applyBorder="1" applyAlignment="1">
      <alignment horizontal="center" vertical="center" wrapText="1"/>
    </xf>
    <xf numFmtId="49" fontId="21" fillId="4" borderId="1" xfId="0" applyNumberFormat="1" applyFont="1" applyFill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 wrapText="1"/>
    </xf>
    <xf numFmtId="0" fontId="21" fillId="8" borderId="5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 wrapText="1"/>
    </xf>
    <xf numFmtId="49" fontId="21" fillId="0" borderId="5" xfId="0" applyNumberFormat="1" applyFont="1" applyBorder="1" applyAlignment="1">
      <alignment horizontal="center" vertical="center" wrapText="1"/>
    </xf>
    <xf numFmtId="0" fontId="21" fillId="3" borderId="18" xfId="0" applyFont="1" applyFill="1" applyBorder="1" applyAlignment="1">
      <alignment horizontal="center" vertical="center" wrapText="1"/>
    </xf>
    <xf numFmtId="49" fontId="21" fillId="4" borderId="5" xfId="0" applyNumberFormat="1" applyFont="1" applyFill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center"/>
    </xf>
    <xf numFmtId="0" fontId="21" fillId="8" borderId="17" xfId="0" applyFont="1" applyFill="1" applyBorder="1" applyAlignment="1">
      <alignment horizontal="center" vertical="center" wrapText="1"/>
    </xf>
    <xf numFmtId="0" fontId="21" fillId="8" borderId="18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5" xfId="0" applyNumberFormat="1" applyFont="1" applyFill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49" fontId="21" fillId="3" borderId="5" xfId="0" applyNumberFormat="1" applyFont="1" applyFill="1" applyBorder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/>
    </xf>
    <xf numFmtId="0" fontId="21" fillId="3" borderId="18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49" fontId="28" fillId="0" borderId="18" xfId="0" applyNumberFormat="1" applyFont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21" fillId="17" borderId="1" xfId="0" applyFont="1" applyFill="1" applyBorder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 wrapText="1"/>
    </xf>
    <xf numFmtId="49" fontId="21" fillId="3" borderId="5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49" fontId="28" fillId="3" borderId="5" xfId="0" applyNumberFormat="1" applyFont="1" applyFill="1" applyBorder="1" applyAlignment="1">
      <alignment horizontal="center" vertical="center"/>
    </xf>
    <xf numFmtId="14" fontId="21" fillId="3" borderId="17" xfId="0" applyNumberFormat="1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22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vertical="center"/>
    </xf>
    <xf numFmtId="49" fontId="21" fillId="3" borderId="17" xfId="0" applyNumberFormat="1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21" fillId="18" borderId="5" xfId="0" applyFont="1" applyFill="1" applyBorder="1" applyAlignment="1">
      <alignment horizontal="center" vertical="center" wrapText="1"/>
    </xf>
    <xf numFmtId="49" fontId="21" fillId="12" borderId="5" xfId="0" applyNumberFormat="1" applyFont="1" applyFill="1" applyBorder="1" applyAlignment="1">
      <alignment horizontal="center" vertical="center"/>
    </xf>
    <xf numFmtId="0" fontId="28" fillId="3" borderId="17" xfId="0" applyFont="1" applyFill="1" applyBorder="1" applyAlignment="1">
      <alignment horizontal="center" vertical="center" wrapText="1"/>
    </xf>
    <xf numFmtId="0" fontId="21" fillId="0" borderId="17" xfId="0" applyFont="1" applyBorder="1" applyAlignment="1">
      <alignment horizontal="left" vertical="center"/>
    </xf>
    <xf numFmtId="49" fontId="28" fillId="0" borderId="18" xfId="0" applyNumberFormat="1" applyFont="1" applyBorder="1" applyAlignment="1">
      <alignment horizontal="center" vertical="center"/>
    </xf>
    <xf numFmtId="0" fontId="31" fillId="3" borderId="10" xfId="0" applyFont="1" applyFill="1" applyBorder="1" applyAlignment="1">
      <alignment horizontal="center" vertical="center"/>
    </xf>
    <xf numFmtId="0" fontId="32" fillId="19" borderId="10" xfId="0" applyFont="1" applyFill="1" applyBorder="1" applyAlignment="1">
      <alignment horizontal="center" vertical="center"/>
    </xf>
    <xf numFmtId="14" fontId="21" fillId="8" borderId="17" xfId="0" applyNumberFormat="1" applyFont="1" applyFill="1" applyBorder="1" applyAlignment="1">
      <alignment horizontal="center" vertical="center"/>
    </xf>
    <xf numFmtId="49" fontId="21" fillId="6" borderId="5" xfId="0" applyNumberFormat="1" applyFont="1" applyFill="1" applyBorder="1" applyAlignment="1">
      <alignment horizontal="center" vertical="center"/>
    </xf>
    <xf numFmtId="0" fontId="21" fillId="6" borderId="18" xfId="0" applyFont="1" applyFill="1" applyBorder="1" applyAlignment="1">
      <alignment horizontal="center" vertical="center" wrapText="1"/>
    </xf>
    <xf numFmtId="49" fontId="21" fillId="7" borderId="5" xfId="0" applyNumberFormat="1" applyFont="1" applyFill="1" applyBorder="1" applyAlignment="1">
      <alignment horizontal="center" vertical="center"/>
    </xf>
    <xf numFmtId="0" fontId="32" fillId="20" borderId="10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19" xfId="0" applyBorder="1"/>
    <xf numFmtId="0" fontId="21" fillId="12" borderId="17" xfId="0" applyFont="1" applyFill="1" applyBorder="1" applyAlignment="1">
      <alignment horizontal="center" vertical="center"/>
    </xf>
    <xf numFmtId="0" fontId="22" fillId="12" borderId="17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14" fontId="21" fillId="3" borderId="17" xfId="0" applyNumberFormat="1" applyFont="1" applyFill="1" applyBorder="1" applyAlignment="1">
      <alignment horizontal="center" vertical="center"/>
    </xf>
    <xf numFmtId="49" fontId="21" fillId="3" borderId="1" xfId="0" applyNumberFormat="1" applyFont="1" applyFill="1" applyBorder="1" applyAlignment="1">
      <alignment horizontal="center" vertical="center"/>
    </xf>
    <xf numFmtId="0" fontId="21" fillId="8" borderId="18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18" fillId="3" borderId="9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3" fillId="12" borderId="0" xfId="0" applyFont="1" applyFill="1" applyAlignment="1">
      <alignment vertical="center"/>
    </xf>
    <xf numFmtId="0" fontId="33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vertical="center"/>
    </xf>
    <xf numFmtId="0" fontId="33" fillId="12" borderId="0" xfId="0" applyFont="1" applyFill="1"/>
    <xf numFmtId="0" fontId="21" fillId="12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/>
    </xf>
    <xf numFmtId="14" fontId="21" fillId="6" borderId="17" xfId="0" applyNumberFormat="1" applyFont="1" applyFill="1" applyBorder="1" applyAlignment="1">
      <alignment horizontal="center" vertical="center"/>
    </xf>
    <xf numFmtId="0" fontId="33" fillId="3" borderId="0" xfId="0" applyFont="1" applyFill="1" applyAlignment="1">
      <alignment vertical="center"/>
    </xf>
    <xf numFmtId="0" fontId="21" fillId="10" borderId="17" xfId="0" applyFont="1" applyFill="1" applyBorder="1" applyAlignment="1">
      <alignment horizontal="center" vertical="center"/>
    </xf>
    <xf numFmtId="0" fontId="21" fillId="6" borderId="17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21" fillId="8" borderId="12" xfId="0" applyFont="1" applyFill="1" applyBorder="1" applyAlignment="1">
      <alignment horizontal="center" vertical="center" wrapText="1"/>
    </xf>
    <xf numFmtId="49" fontId="21" fillId="0" borderId="12" xfId="0" applyNumberFormat="1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49" fontId="3" fillId="3" borderId="12" xfId="0" applyNumberFormat="1" applyFont="1" applyFill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49" fontId="21" fillId="4" borderId="12" xfId="0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12" borderId="19" xfId="0" applyFont="1" applyFill="1" applyBorder="1" applyAlignment="1">
      <alignment horizontal="center" vertical="center"/>
    </xf>
    <xf numFmtId="49" fontId="21" fillId="3" borderId="9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vertical="center"/>
    </xf>
    <xf numFmtId="0" fontId="21" fillId="6" borderId="18" xfId="0" applyFont="1" applyFill="1" applyBorder="1" applyAlignment="1">
      <alignment horizontal="center" vertical="center"/>
    </xf>
    <xf numFmtId="49" fontId="21" fillId="3" borderId="12" xfId="0" applyNumberFormat="1" applyFont="1" applyFill="1" applyBorder="1" applyAlignment="1">
      <alignment horizontal="center" vertical="center" wrapText="1"/>
    </xf>
    <xf numFmtId="0" fontId="33" fillId="0" borderId="20" xfId="0" applyFont="1" applyBorder="1" applyAlignment="1">
      <alignment vertical="center"/>
    </xf>
    <xf numFmtId="0" fontId="4" fillId="5" borderId="2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9" fontId="30" fillId="5" borderId="1" xfId="0" applyNumberFormat="1" applyFont="1" applyFill="1" applyBorder="1" applyAlignment="1">
      <alignment horizontal="center" vertical="center"/>
    </xf>
    <xf numFmtId="49" fontId="30" fillId="5" borderId="9" xfId="0" applyNumberFormat="1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49" fontId="30" fillId="5" borderId="5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vertical="center"/>
    </xf>
    <xf numFmtId="0" fontId="4" fillId="5" borderId="9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 wrapText="1"/>
    </xf>
    <xf numFmtId="0" fontId="24" fillId="5" borderId="23" xfId="0" applyFont="1" applyFill="1" applyBorder="1" applyAlignment="1">
      <alignment horizontal="center" vertical="center" wrapText="1"/>
    </xf>
    <xf numFmtId="0" fontId="24" fillId="5" borderId="9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4" fillId="5" borderId="23" xfId="0" applyFont="1" applyFill="1" applyBorder="1" applyAlignment="1">
      <alignment horizontal="center" vertical="center"/>
    </xf>
    <xf numFmtId="0" fontId="4" fillId="5" borderId="26" xfId="0" applyFont="1" applyFill="1" applyBorder="1" applyAlignment="1">
      <alignment horizontal="center" vertical="center" wrapText="1"/>
    </xf>
    <xf numFmtId="0" fontId="4" fillId="5" borderId="22" xfId="0" applyFont="1" applyFill="1" applyBorder="1" applyAlignment="1">
      <alignment horizontal="center" vertical="center"/>
    </xf>
    <xf numFmtId="49" fontId="4" fillId="5" borderId="23" xfId="0" applyNumberFormat="1" applyFont="1" applyFill="1" applyBorder="1" applyAlignment="1">
      <alignment horizontal="center" vertical="center" wrapText="1"/>
    </xf>
    <xf numFmtId="49" fontId="4" fillId="5" borderId="9" xfId="0" applyNumberFormat="1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 wrapText="1"/>
    </xf>
    <xf numFmtId="0" fontId="4" fillId="7" borderId="9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</cellXfs>
  <cellStyles count="2">
    <cellStyle name="Hyperlink 2" xfId="1" xr:uid="{00000000-0005-0000-0000-000000000000}"/>
    <cellStyle name="Standard" xfId="0" builtinId="0"/>
  </cellStyles>
  <dxfs count="0"/>
  <tableStyles count="1" defaultTableStyle="TableStyleMedium2" defaultPivotStyle="PivotStyleLight16">
    <tableStyle name="Invisible" pivot="0" table="0" count="0" xr9:uid="{435ADAE3-6F95-4E6B-A634-D74AD2E9155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117" Type="http://schemas.openxmlformats.org/officeDocument/2006/relationships/externalLink" Target="externalLinks/externalLink113.xml"/><Relationship Id="rId21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63" Type="http://schemas.openxmlformats.org/officeDocument/2006/relationships/externalLink" Target="externalLinks/externalLink59.xml"/><Relationship Id="rId68" Type="http://schemas.openxmlformats.org/officeDocument/2006/relationships/externalLink" Target="externalLinks/externalLink64.xml"/><Relationship Id="rId84" Type="http://schemas.openxmlformats.org/officeDocument/2006/relationships/externalLink" Target="externalLinks/externalLink80.xml"/><Relationship Id="rId89" Type="http://schemas.openxmlformats.org/officeDocument/2006/relationships/externalLink" Target="externalLinks/externalLink85.xml"/><Relationship Id="rId112" Type="http://schemas.openxmlformats.org/officeDocument/2006/relationships/externalLink" Target="externalLinks/externalLink108.xml"/><Relationship Id="rId133" Type="http://schemas.openxmlformats.org/officeDocument/2006/relationships/externalLink" Target="externalLinks/externalLink129.xml"/><Relationship Id="rId138" Type="http://schemas.openxmlformats.org/officeDocument/2006/relationships/externalLink" Target="externalLinks/externalLink134.xml"/><Relationship Id="rId154" Type="http://schemas.openxmlformats.org/officeDocument/2006/relationships/externalLink" Target="externalLinks/externalLink150.xml"/><Relationship Id="rId159" Type="http://schemas.openxmlformats.org/officeDocument/2006/relationships/externalLink" Target="externalLinks/externalLink155.xml"/><Relationship Id="rId175" Type="http://schemas.openxmlformats.org/officeDocument/2006/relationships/externalLink" Target="externalLinks/externalLink171.xml"/><Relationship Id="rId170" Type="http://schemas.openxmlformats.org/officeDocument/2006/relationships/externalLink" Target="externalLinks/externalLink166.xml"/><Relationship Id="rId16" Type="http://schemas.openxmlformats.org/officeDocument/2006/relationships/externalLink" Target="externalLinks/externalLink12.xml"/><Relationship Id="rId107" Type="http://schemas.openxmlformats.org/officeDocument/2006/relationships/externalLink" Target="externalLinks/externalLink103.xml"/><Relationship Id="rId11" Type="http://schemas.openxmlformats.org/officeDocument/2006/relationships/externalLink" Target="externalLinks/externalLink7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74" Type="http://schemas.openxmlformats.org/officeDocument/2006/relationships/externalLink" Target="externalLinks/externalLink70.xml"/><Relationship Id="rId79" Type="http://schemas.openxmlformats.org/officeDocument/2006/relationships/externalLink" Target="externalLinks/externalLink75.xml"/><Relationship Id="rId102" Type="http://schemas.openxmlformats.org/officeDocument/2006/relationships/externalLink" Target="externalLinks/externalLink98.xml"/><Relationship Id="rId123" Type="http://schemas.openxmlformats.org/officeDocument/2006/relationships/externalLink" Target="externalLinks/externalLink119.xml"/><Relationship Id="rId128" Type="http://schemas.openxmlformats.org/officeDocument/2006/relationships/externalLink" Target="externalLinks/externalLink124.xml"/><Relationship Id="rId144" Type="http://schemas.openxmlformats.org/officeDocument/2006/relationships/externalLink" Target="externalLinks/externalLink140.xml"/><Relationship Id="rId149" Type="http://schemas.openxmlformats.org/officeDocument/2006/relationships/externalLink" Target="externalLinks/externalLink145.xml"/><Relationship Id="rId5" Type="http://schemas.openxmlformats.org/officeDocument/2006/relationships/externalLink" Target="externalLinks/externalLink1.xml"/><Relationship Id="rId90" Type="http://schemas.openxmlformats.org/officeDocument/2006/relationships/externalLink" Target="externalLinks/externalLink86.xml"/><Relationship Id="rId95" Type="http://schemas.openxmlformats.org/officeDocument/2006/relationships/externalLink" Target="externalLinks/externalLink91.xml"/><Relationship Id="rId160" Type="http://schemas.openxmlformats.org/officeDocument/2006/relationships/externalLink" Target="externalLinks/externalLink156.xml"/><Relationship Id="rId165" Type="http://schemas.openxmlformats.org/officeDocument/2006/relationships/externalLink" Target="externalLinks/externalLink161.xml"/><Relationship Id="rId181" Type="http://schemas.openxmlformats.org/officeDocument/2006/relationships/externalLink" Target="externalLinks/externalLink177.xml"/><Relationship Id="rId186" Type="http://schemas.microsoft.com/office/2006/relationships/vbaProject" Target="vbaProject.bin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64" Type="http://schemas.openxmlformats.org/officeDocument/2006/relationships/externalLink" Target="externalLinks/externalLink60.xml"/><Relationship Id="rId69" Type="http://schemas.openxmlformats.org/officeDocument/2006/relationships/externalLink" Target="externalLinks/externalLink65.xml"/><Relationship Id="rId113" Type="http://schemas.openxmlformats.org/officeDocument/2006/relationships/externalLink" Target="externalLinks/externalLink109.xml"/><Relationship Id="rId118" Type="http://schemas.openxmlformats.org/officeDocument/2006/relationships/externalLink" Target="externalLinks/externalLink114.xml"/><Relationship Id="rId134" Type="http://schemas.openxmlformats.org/officeDocument/2006/relationships/externalLink" Target="externalLinks/externalLink130.xml"/><Relationship Id="rId139" Type="http://schemas.openxmlformats.org/officeDocument/2006/relationships/externalLink" Target="externalLinks/externalLink135.xml"/><Relationship Id="rId80" Type="http://schemas.openxmlformats.org/officeDocument/2006/relationships/externalLink" Target="externalLinks/externalLink76.xml"/><Relationship Id="rId85" Type="http://schemas.openxmlformats.org/officeDocument/2006/relationships/externalLink" Target="externalLinks/externalLink81.xml"/><Relationship Id="rId150" Type="http://schemas.openxmlformats.org/officeDocument/2006/relationships/externalLink" Target="externalLinks/externalLink146.xml"/><Relationship Id="rId155" Type="http://schemas.openxmlformats.org/officeDocument/2006/relationships/externalLink" Target="externalLinks/externalLink151.xml"/><Relationship Id="rId171" Type="http://schemas.openxmlformats.org/officeDocument/2006/relationships/externalLink" Target="externalLinks/externalLink167.xml"/><Relationship Id="rId176" Type="http://schemas.openxmlformats.org/officeDocument/2006/relationships/externalLink" Target="externalLinks/externalLink172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59" Type="http://schemas.openxmlformats.org/officeDocument/2006/relationships/externalLink" Target="externalLinks/externalLink55.xml"/><Relationship Id="rId103" Type="http://schemas.openxmlformats.org/officeDocument/2006/relationships/externalLink" Target="externalLinks/externalLink99.xml"/><Relationship Id="rId108" Type="http://schemas.openxmlformats.org/officeDocument/2006/relationships/externalLink" Target="externalLinks/externalLink104.xml"/><Relationship Id="rId124" Type="http://schemas.openxmlformats.org/officeDocument/2006/relationships/externalLink" Target="externalLinks/externalLink120.xml"/><Relationship Id="rId129" Type="http://schemas.openxmlformats.org/officeDocument/2006/relationships/externalLink" Target="externalLinks/externalLink125.xml"/><Relationship Id="rId54" Type="http://schemas.openxmlformats.org/officeDocument/2006/relationships/externalLink" Target="externalLinks/externalLink50.xml"/><Relationship Id="rId70" Type="http://schemas.openxmlformats.org/officeDocument/2006/relationships/externalLink" Target="externalLinks/externalLink66.xml"/><Relationship Id="rId75" Type="http://schemas.openxmlformats.org/officeDocument/2006/relationships/externalLink" Target="externalLinks/externalLink71.xml"/><Relationship Id="rId91" Type="http://schemas.openxmlformats.org/officeDocument/2006/relationships/externalLink" Target="externalLinks/externalLink87.xml"/><Relationship Id="rId96" Type="http://schemas.openxmlformats.org/officeDocument/2006/relationships/externalLink" Target="externalLinks/externalLink92.xml"/><Relationship Id="rId140" Type="http://schemas.openxmlformats.org/officeDocument/2006/relationships/externalLink" Target="externalLinks/externalLink136.xml"/><Relationship Id="rId145" Type="http://schemas.openxmlformats.org/officeDocument/2006/relationships/externalLink" Target="externalLinks/externalLink141.xml"/><Relationship Id="rId161" Type="http://schemas.openxmlformats.org/officeDocument/2006/relationships/externalLink" Target="externalLinks/externalLink157.xml"/><Relationship Id="rId166" Type="http://schemas.openxmlformats.org/officeDocument/2006/relationships/externalLink" Target="externalLinks/externalLink162.xml"/><Relationship Id="rId18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49" Type="http://schemas.openxmlformats.org/officeDocument/2006/relationships/externalLink" Target="externalLinks/externalLink45.xml"/><Relationship Id="rId114" Type="http://schemas.openxmlformats.org/officeDocument/2006/relationships/externalLink" Target="externalLinks/externalLink110.xml"/><Relationship Id="rId119" Type="http://schemas.openxmlformats.org/officeDocument/2006/relationships/externalLink" Target="externalLinks/externalLink115.xml"/><Relationship Id="rId44" Type="http://schemas.openxmlformats.org/officeDocument/2006/relationships/externalLink" Target="externalLinks/externalLink40.xml"/><Relationship Id="rId60" Type="http://schemas.openxmlformats.org/officeDocument/2006/relationships/externalLink" Target="externalLinks/externalLink56.xml"/><Relationship Id="rId65" Type="http://schemas.openxmlformats.org/officeDocument/2006/relationships/externalLink" Target="externalLinks/externalLink61.xml"/><Relationship Id="rId81" Type="http://schemas.openxmlformats.org/officeDocument/2006/relationships/externalLink" Target="externalLinks/externalLink77.xml"/><Relationship Id="rId86" Type="http://schemas.openxmlformats.org/officeDocument/2006/relationships/externalLink" Target="externalLinks/externalLink82.xml"/><Relationship Id="rId130" Type="http://schemas.openxmlformats.org/officeDocument/2006/relationships/externalLink" Target="externalLinks/externalLink126.xml"/><Relationship Id="rId135" Type="http://schemas.openxmlformats.org/officeDocument/2006/relationships/externalLink" Target="externalLinks/externalLink131.xml"/><Relationship Id="rId151" Type="http://schemas.openxmlformats.org/officeDocument/2006/relationships/externalLink" Target="externalLinks/externalLink147.xml"/><Relationship Id="rId156" Type="http://schemas.openxmlformats.org/officeDocument/2006/relationships/externalLink" Target="externalLinks/externalLink152.xml"/><Relationship Id="rId177" Type="http://schemas.openxmlformats.org/officeDocument/2006/relationships/externalLink" Target="externalLinks/externalLink17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72" Type="http://schemas.openxmlformats.org/officeDocument/2006/relationships/externalLink" Target="externalLinks/externalLink168.xml"/><Relationship Id="rId180" Type="http://schemas.openxmlformats.org/officeDocument/2006/relationships/externalLink" Target="externalLinks/externalLink176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Relationship Id="rId109" Type="http://schemas.openxmlformats.org/officeDocument/2006/relationships/externalLink" Target="externalLinks/externalLink105.xml"/><Relationship Id="rId34" Type="http://schemas.openxmlformats.org/officeDocument/2006/relationships/externalLink" Target="externalLinks/externalLink30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76" Type="http://schemas.openxmlformats.org/officeDocument/2006/relationships/externalLink" Target="externalLinks/externalLink72.xml"/><Relationship Id="rId97" Type="http://schemas.openxmlformats.org/officeDocument/2006/relationships/externalLink" Target="externalLinks/externalLink93.xml"/><Relationship Id="rId104" Type="http://schemas.openxmlformats.org/officeDocument/2006/relationships/externalLink" Target="externalLinks/externalLink100.xml"/><Relationship Id="rId120" Type="http://schemas.openxmlformats.org/officeDocument/2006/relationships/externalLink" Target="externalLinks/externalLink116.xml"/><Relationship Id="rId125" Type="http://schemas.openxmlformats.org/officeDocument/2006/relationships/externalLink" Target="externalLinks/externalLink121.xml"/><Relationship Id="rId141" Type="http://schemas.openxmlformats.org/officeDocument/2006/relationships/externalLink" Target="externalLinks/externalLink137.xml"/><Relationship Id="rId146" Type="http://schemas.openxmlformats.org/officeDocument/2006/relationships/externalLink" Target="externalLinks/externalLink142.xml"/><Relationship Id="rId167" Type="http://schemas.openxmlformats.org/officeDocument/2006/relationships/externalLink" Target="externalLinks/externalLink163.xml"/><Relationship Id="rId7" Type="http://schemas.openxmlformats.org/officeDocument/2006/relationships/externalLink" Target="externalLinks/externalLink3.xml"/><Relationship Id="rId71" Type="http://schemas.openxmlformats.org/officeDocument/2006/relationships/externalLink" Target="externalLinks/externalLink67.xml"/><Relationship Id="rId92" Type="http://schemas.openxmlformats.org/officeDocument/2006/relationships/externalLink" Target="externalLinks/externalLink88.xml"/><Relationship Id="rId162" Type="http://schemas.openxmlformats.org/officeDocument/2006/relationships/externalLink" Target="externalLinks/externalLink158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5.xml"/><Relationship Id="rId24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66" Type="http://schemas.openxmlformats.org/officeDocument/2006/relationships/externalLink" Target="externalLinks/externalLink62.xml"/><Relationship Id="rId87" Type="http://schemas.openxmlformats.org/officeDocument/2006/relationships/externalLink" Target="externalLinks/externalLink83.xml"/><Relationship Id="rId110" Type="http://schemas.openxmlformats.org/officeDocument/2006/relationships/externalLink" Target="externalLinks/externalLink106.xml"/><Relationship Id="rId115" Type="http://schemas.openxmlformats.org/officeDocument/2006/relationships/externalLink" Target="externalLinks/externalLink111.xml"/><Relationship Id="rId131" Type="http://schemas.openxmlformats.org/officeDocument/2006/relationships/externalLink" Target="externalLinks/externalLink127.xml"/><Relationship Id="rId136" Type="http://schemas.openxmlformats.org/officeDocument/2006/relationships/externalLink" Target="externalLinks/externalLink132.xml"/><Relationship Id="rId157" Type="http://schemas.openxmlformats.org/officeDocument/2006/relationships/externalLink" Target="externalLinks/externalLink153.xml"/><Relationship Id="rId178" Type="http://schemas.openxmlformats.org/officeDocument/2006/relationships/externalLink" Target="externalLinks/externalLink174.xml"/><Relationship Id="rId61" Type="http://schemas.openxmlformats.org/officeDocument/2006/relationships/externalLink" Target="externalLinks/externalLink57.xml"/><Relationship Id="rId82" Type="http://schemas.openxmlformats.org/officeDocument/2006/relationships/externalLink" Target="externalLinks/externalLink78.xml"/><Relationship Id="rId152" Type="http://schemas.openxmlformats.org/officeDocument/2006/relationships/externalLink" Target="externalLinks/externalLink148.xml"/><Relationship Id="rId173" Type="http://schemas.openxmlformats.org/officeDocument/2006/relationships/externalLink" Target="externalLinks/externalLink169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56" Type="http://schemas.openxmlformats.org/officeDocument/2006/relationships/externalLink" Target="externalLinks/externalLink52.xml"/><Relationship Id="rId77" Type="http://schemas.openxmlformats.org/officeDocument/2006/relationships/externalLink" Target="externalLinks/externalLink73.xml"/><Relationship Id="rId100" Type="http://schemas.openxmlformats.org/officeDocument/2006/relationships/externalLink" Target="externalLinks/externalLink96.xml"/><Relationship Id="rId105" Type="http://schemas.openxmlformats.org/officeDocument/2006/relationships/externalLink" Target="externalLinks/externalLink101.xml"/><Relationship Id="rId126" Type="http://schemas.openxmlformats.org/officeDocument/2006/relationships/externalLink" Target="externalLinks/externalLink122.xml"/><Relationship Id="rId147" Type="http://schemas.openxmlformats.org/officeDocument/2006/relationships/externalLink" Target="externalLinks/externalLink143.xml"/><Relationship Id="rId168" Type="http://schemas.openxmlformats.org/officeDocument/2006/relationships/externalLink" Target="externalLinks/externalLink164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72" Type="http://schemas.openxmlformats.org/officeDocument/2006/relationships/externalLink" Target="externalLinks/externalLink68.xml"/><Relationship Id="rId93" Type="http://schemas.openxmlformats.org/officeDocument/2006/relationships/externalLink" Target="externalLinks/externalLink89.xml"/><Relationship Id="rId98" Type="http://schemas.openxmlformats.org/officeDocument/2006/relationships/externalLink" Target="externalLinks/externalLink94.xml"/><Relationship Id="rId121" Type="http://schemas.openxmlformats.org/officeDocument/2006/relationships/externalLink" Target="externalLinks/externalLink117.xml"/><Relationship Id="rId142" Type="http://schemas.openxmlformats.org/officeDocument/2006/relationships/externalLink" Target="externalLinks/externalLink138.xml"/><Relationship Id="rId163" Type="http://schemas.openxmlformats.org/officeDocument/2006/relationships/externalLink" Target="externalLinks/externalLink159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42.xml"/><Relationship Id="rId67" Type="http://schemas.openxmlformats.org/officeDocument/2006/relationships/externalLink" Target="externalLinks/externalLink63.xml"/><Relationship Id="rId116" Type="http://schemas.openxmlformats.org/officeDocument/2006/relationships/externalLink" Target="externalLinks/externalLink112.xml"/><Relationship Id="rId137" Type="http://schemas.openxmlformats.org/officeDocument/2006/relationships/externalLink" Target="externalLinks/externalLink133.xml"/><Relationship Id="rId158" Type="http://schemas.openxmlformats.org/officeDocument/2006/relationships/externalLink" Target="externalLinks/externalLink154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62" Type="http://schemas.openxmlformats.org/officeDocument/2006/relationships/externalLink" Target="externalLinks/externalLink58.xml"/><Relationship Id="rId83" Type="http://schemas.openxmlformats.org/officeDocument/2006/relationships/externalLink" Target="externalLinks/externalLink79.xml"/><Relationship Id="rId88" Type="http://schemas.openxmlformats.org/officeDocument/2006/relationships/externalLink" Target="externalLinks/externalLink84.xml"/><Relationship Id="rId111" Type="http://schemas.openxmlformats.org/officeDocument/2006/relationships/externalLink" Target="externalLinks/externalLink107.xml"/><Relationship Id="rId132" Type="http://schemas.openxmlformats.org/officeDocument/2006/relationships/externalLink" Target="externalLinks/externalLink128.xml"/><Relationship Id="rId153" Type="http://schemas.openxmlformats.org/officeDocument/2006/relationships/externalLink" Target="externalLinks/externalLink149.xml"/><Relationship Id="rId174" Type="http://schemas.openxmlformats.org/officeDocument/2006/relationships/externalLink" Target="externalLinks/externalLink170.xml"/><Relationship Id="rId179" Type="http://schemas.openxmlformats.org/officeDocument/2006/relationships/externalLink" Target="externalLinks/externalLink175.xml"/><Relationship Id="rId15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32.xml"/><Relationship Id="rId57" Type="http://schemas.openxmlformats.org/officeDocument/2006/relationships/externalLink" Target="externalLinks/externalLink53.xml"/><Relationship Id="rId106" Type="http://schemas.openxmlformats.org/officeDocument/2006/relationships/externalLink" Target="externalLinks/externalLink102.xml"/><Relationship Id="rId127" Type="http://schemas.openxmlformats.org/officeDocument/2006/relationships/externalLink" Target="externalLinks/externalLink12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52" Type="http://schemas.openxmlformats.org/officeDocument/2006/relationships/externalLink" Target="externalLinks/externalLink48.xml"/><Relationship Id="rId73" Type="http://schemas.openxmlformats.org/officeDocument/2006/relationships/externalLink" Target="externalLinks/externalLink69.xml"/><Relationship Id="rId78" Type="http://schemas.openxmlformats.org/officeDocument/2006/relationships/externalLink" Target="externalLinks/externalLink74.xml"/><Relationship Id="rId94" Type="http://schemas.openxmlformats.org/officeDocument/2006/relationships/externalLink" Target="externalLinks/externalLink90.xml"/><Relationship Id="rId99" Type="http://schemas.openxmlformats.org/officeDocument/2006/relationships/externalLink" Target="externalLinks/externalLink95.xml"/><Relationship Id="rId101" Type="http://schemas.openxmlformats.org/officeDocument/2006/relationships/externalLink" Target="externalLinks/externalLink97.xml"/><Relationship Id="rId122" Type="http://schemas.openxmlformats.org/officeDocument/2006/relationships/externalLink" Target="externalLinks/externalLink118.xml"/><Relationship Id="rId143" Type="http://schemas.openxmlformats.org/officeDocument/2006/relationships/externalLink" Target="externalLinks/externalLink139.xml"/><Relationship Id="rId148" Type="http://schemas.openxmlformats.org/officeDocument/2006/relationships/externalLink" Target="externalLinks/externalLink144.xml"/><Relationship Id="rId164" Type="http://schemas.openxmlformats.org/officeDocument/2006/relationships/externalLink" Target="externalLinks/externalLink160.xml"/><Relationship Id="rId169" Type="http://schemas.openxmlformats.org/officeDocument/2006/relationships/externalLink" Target="externalLinks/externalLink165.xml"/><Relationship Id="rId185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2\S-002_Ger&#228;te_Pas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3\S-003_Ger&#228;te_Pas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4\S-004_Ger&#228;te_Pas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5\S-005_Ger&#228;te_Pas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6\S-006_Ger&#228;te_Pa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7\S-007_Ger&#228;te_Pa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09\S-009_Ger&#228;te_Pa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12\S-012_Ger&#228;te_Pas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13\S-013_Ger&#228;te_Pas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14\S-014_Ger&#228;te_Pas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17\S-017_Ger&#228;te_Pas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19\S-019_Ger&#228;te_Pas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20\S-020_Ger&#228;te_Pas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24\S-024_Ger&#228;te_Pas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25\S-025_Ger&#228;te_Pas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26\S-026_Ger&#228;te_Pas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31\S-031_Ger&#228;te_Pas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32\S-032_Ger&#228;te_Pass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33\S-033_Ger&#228;te_Pas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36\S-036_Ger&#228;te_Pas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59\S-059_Ger&#228;te_Pas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60\S-060_Ger&#228;te_Pas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69\S-069_Ger&#228;te_Pass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77\S-077_Ger&#228;te_Pass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80\S-080_Ger&#228;te_Pass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81\S-081_Ger&#228;te_Pass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82\S-082_Ger&#228;te_Pass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86\S-086_Ger&#228;te_Pass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87\S-087_Ger&#228;te_Pas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093\S-093_Ger&#228;te_Pass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161\S-161_Ger&#228;te_Pas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162\S-162_Ger&#228;te_Pass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163\S-163_Ger&#228;te_Pass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164\S-164_Ger&#228;te_Pass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S-165\S-165_Ger&#228;te_Pas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1\H-001_Ger&#228;te_Pas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2\H-002_Ger&#228;te_Pass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3\H-003_Ger&#228;te_Pass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4\H-004_Ger&#228;te_Pass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5\H-005_Ger&#228;te_Pass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7\H-007_Ger&#228;te_Pass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8\H-008_Ger&#228;te_Pass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09\H-009_Ger&#228;te_Pass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0\H-010_Ger&#228;te_Pass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1\H-011_Ger&#228;te_Pass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3\H-013_Ger&#228;te_Pass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4\H-014_Ger&#228;te_Pass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6\H-016_Ger&#228;te_Pass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7\H-017_Ger&#228;te_Pass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8\H-018_Ger&#228;te_Pass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9\H-019_Ger&#228;te_Pass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0\H-020_Ger&#228;te_Pass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2\H-022_Ger&#228;te_Pass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3\H-023_Ger&#228;te_Pass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4\H-024_Ger&#228;te_Pass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5\H-025_Ger&#228;te_Pass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7\H-027_Ger&#228;te_Pass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8\H-028_Ger&#228;te_Pass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29\H-029_Ger&#228;te_Pass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0\H-030_Ger&#228;te_Pass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1\H-031_Ger&#228;te_Pass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2\H-032_Ger&#228;te_Pass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3\H-033_Ger&#228;te_Pass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4\H-034_Ger&#228;te_Pass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5\H-035_Ger&#228;te_Pass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8\H-038_Ger&#228;te_Pass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39\H-039_Ger&#228;te_Pass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0\H-040_Ger&#228;te_Pass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1\H-041_Ger&#228;te_Pass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2\H-042_Ger&#228;te_Pass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3\H-043_Ger&#228;te_Pass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4\H-044_Ger&#228;te_Pass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6\H-046_Ger&#228;te_Pass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7\H-047_Ger&#228;te_Pass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8\H-048_Ger&#228;te_Pass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49\H-049_Ger&#228;te_Pass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0\H-050_Ger&#228;te_Pass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1\H-051_Ger&#228;te_Pass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2\H-052_Ger&#228;te_Pass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3\H-053_Ger&#228;te_Pass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4\H-054_Ger&#228;te_Pass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6\H-056_Ger&#228;te_Pass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7\H-057_Ger&#228;te_Pass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8\H-058_Ger&#228;te_Pass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59\H-059_Ger&#228;te_Pass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0\H-060_Ger&#228;te_Pass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1\H-061_Ger&#228;te_Pass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2\H-062_Ger&#228;te_Pass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3\H-063_Ger&#228;te_Pass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4\H-064_Ger&#228;te_Pass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5\H-065_Ger&#228;te_Pass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6\H-066_Ger&#228;te_Pass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8\H-068_Ger&#228;te_Pass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69\H-069_Ger&#228;te_Pass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70\H-070_Ger&#228;te_Pass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71\H-071_Ger&#228;te_Pass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75\H-075_Ger&#228;te_Pass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77\H-077_Ger&#228;te_Pass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79\H-079_Ger&#228;te_Pass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80\H-080_Ger&#228;te_Pass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81\H-081_Ger&#228;te_Pass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82\H-082_Ger&#228;te_Pass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87\H-087_Ger&#228;te_Pass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88\H-088_Ger&#228;te_Pass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92\H-092_Ger&#228;te_Pass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93\H-093_Ger&#228;te_Pass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95\H-095_Ger&#228;te_Pass.xls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97\H-097_Ger&#228;te_Pass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0\H-100_Ger&#228;te_Pass.xls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1\H-101_Ger&#228;te_Pass.xls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4\H-104_Ger&#228;te_Pass.xls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5\H-105_Ger&#228;te_Pass.xls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7\H-107_Ger&#228;te_Pass.xls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8\H-108_Ger&#228;te_Pass.xls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109\H-109_Ger&#228;te_Pass.xls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1\V-001_Ger&#228;te_Pass.xls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2\V-002_Ger&#228;te_Pass.xls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3\V-003_Ger&#228;te_Pass.xls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4\V-004_Ger&#228;te_Pass.xls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5\V-005_Ger&#228;te_Pass.xls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6\V-006_Ger&#228;te_Pass.xls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7\V-007_Ger&#228;te_Pass.xls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09\V-009_Ger&#228;te_Pass.xls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0\V-010_Ger&#228;te_Pass.xls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1\V-011_Ger&#228;te_Pass.xls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2\V-012_Ger&#228;te_Pass.xls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3\V-013_Ger&#228;te_Pass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5\v-015_Ger&#228;te_Pass.xls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6\V-016_Ger&#228;te_Pass.xls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7\V-017_Ger&#228;te_Pass.xls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18\V-018_Ger&#228;te_Pass.xls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20\V-020_Ger&#228;te_Pass.xls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21\V-021_Ger&#228;te_Pass.xls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22\V-022_Ger&#228;te_Pass.xls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V-023\V-023_Ger&#228;te_Pass.xls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8\G-028_Ger&#228;te_Pass.xls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03\G-003_Ger&#228;te_Pass.xls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04\G-004_Ger&#228;te_Pass.xls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07\G-007_Ger&#228;te_Pass.xls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08\G-008_Ger&#228;te_Pass.xls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09\G-009_Ger&#228;te_Pass.xls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0\G-010_Ger&#228;te_Pass.xls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1\G-011_Ger&#228;te_Pass.xls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2\G-012_Ger&#228;te_Pass.xls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3\G-013_Ger&#228;te_Pass.xls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4\G-014_Ger&#228;te_Pass.xls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5\G-015_Ger&#228;te_Pass.xls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6\G-016_Ger&#228;te_Pass.xls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7\G-017_Ger&#228;te_Pass.xls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8\g-018_Ger&#228;te_Pass.xls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19\G-019_Ger&#228;te_Pass.xls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0\G-020_Ger&#228;te_Pass.xls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2\G-022_Ger&#228;te_Pass.xls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3\G-023_Ger&#228;te_Pass.xls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4\G-024_Ger&#228;te_Pass.xls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5\G-025_Ger&#228;te_Pass.xls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7\G-027_Ger&#228;te_Pass.xls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T-003\T-003_Ger&#228;te_Pass.xls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29\G-029_Ger&#228;te_Pass.xls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32\G-032_Ger&#228;te_Pass.xls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34\G-034_Ger&#228;te_Pass.xls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35\G-035_Ger&#228;te_Pass.xls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36\G-036_Ger&#228;te_Pass.xls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37\G-037_Ger&#228;te_Pass.xls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3\G-053_Ger&#228;te_Pass.xls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3\G-055_Ger&#228;te_Pass.xls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5\G-055_Ger&#228;te_Pass.xls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6\G-056_Ger&#228;te_Pass.xls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7\G-057_Ger&#228;te_Pass.xls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7\G-058_Ger&#228;te_Pass.xls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8\G-056_Ger&#228;te_Pass.xls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59\G-059_Ger&#228;te_Pass.xls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60\G-060_Ger&#228;te_Pass.xls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65\G-065_Ger&#228;te_Pass.xls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81\G-081_Ger&#228;te_Pass.xls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G-089\G-089_Ger&#228;te_Pass.xls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00010\Qual_TMP\06_Stammdateninfo\Handmess\H-015\H-015_Ger&#228;te_Pas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</v>
          </cell>
        </row>
        <row r="4">
          <cell r="L4">
            <v>22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</v>
          </cell>
        </row>
        <row r="4">
          <cell r="L4">
            <v>74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25</v>
          </cell>
        </row>
        <row r="4">
          <cell r="L4">
            <v>5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36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36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34</v>
          </cell>
        </row>
        <row r="4">
          <cell r="L4">
            <v>34</v>
          </cell>
        </row>
      </sheetData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6</v>
          </cell>
        </row>
        <row r="4">
          <cell r="L4">
            <v>74</v>
          </cell>
        </row>
      </sheetData>
      <sheetData sheetId="1" refreshError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</v>
          </cell>
        </row>
        <row r="4">
          <cell r="L4">
            <v>1</v>
          </cell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5</v>
          </cell>
        </row>
      </sheetData>
      <sheetData sheetId="1" refreshError="1"/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6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12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2</v>
          </cell>
        </row>
        <row r="4">
          <cell r="L4">
            <v>4</v>
          </cell>
        </row>
      </sheetData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14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</v>
          </cell>
        </row>
        <row r="4">
          <cell r="L4">
            <v>1</v>
          </cell>
        </row>
      </sheetData>
      <sheetData sheetId="1"/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20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10</v>
          </cell>
        </row>
        <row r="4">
          <cell r="L4">
            <v>4</v>
          </cell>
        </row>
      </sheetData>
      <sheetData sheetId="1"/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18</v>
          </cell>
        </row>
        <row r="4">
          <cell r="L4">
            <v>6</v>
          </cell>
        </row>
      </sheetData>
      <sheetData sheetId="1" refreshError="1"/>
      <sheetData sheetId="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12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50</v>
          </cell>
        </row>
        <row r="4">
          <cell r="L4">
            <v>6</v>
          </cell>
        </row>
      </sheetData>
      <sheetData sheetId="1" refreshError="1"/>
      <sheetData sheetId="2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12</v>
          </cell>
        </row>
        <row r="4">
          <cell r="L4">
            <v>4</v>
          </cell>
        </row>
      </sheetData>
      <sheetData sheetId="1" refreshError="1"/>
      <sheetData sheetId="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20</v>
          </cell>
        </row>
        <row r="4">
          <cell r="L4">
            <v>4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16</v>
          </cell>
        </row>
        <row r="4">
          <cell r="L4">
            <v>5</v>
          </cell>
        </row>
      </sheetData>
      <sheetData sheetId="1"/>
      <sheetData sheetId="2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6</v>
          </cell>
        </row>
        <row r="4">
          <cell r="L4">
            <v>3</v>
          </cell>
        </row>
      </sheetData>
      <sheetData sheetId="1" refreshError="1"/>
      <sheetData sheetId="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10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25</v>
          </cell>
        </row>
        <row r="4">
          <cell r="L4">
            <v>5</v>
          </cell>
        </row>
      </sheetData>
      <sheetData sheetId="1"/>
      <sheetData sheetId="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8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18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</v>
          </cell>
        </row>
        <row r="4">
          <cell r="L4">
            <v>7</v>
          </cell>
        </row>
      </sheetData>
      <sheetData sheetId="1"/>
      <sheetData sheetId="2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</v>
          </cell>
        </row>
        <row r="4">
          <cell r="L4">
            <v>15</v>
          </cell>
        </row>
      </sheetData>
      <sheetData sheetId="1"/>
      <sheetData sheetId="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100</v>
          </cell>
        </row>
      </sheetData>
      <sheetData sheetId="1"/>
      <sheetData sheetId="2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20</v>
          </cell>
        </row>
        <row r="4">
          <cell r="L4">
            <v>36</v>
          </cell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72</v>
          </cell>
        </row>
        <row r="4">
          <cell r="L4">
            <v>12</v>
          </cell>
        </row>
      </sheetData>
      <sheetData sheetId="1" refreshError="1"/>
      <sheetData sheetId="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24</v>
          </cell>
        </row>
        <row r="4">
          <cell r="L4">
            <v>96</v>
          </cell>
        </row>
      </sheetData>
      <sheetData sheetId="1" refreshError="1"/>
      <sheetData sheetId="2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48</v>
          </cell>
        </row>
      </sheetData>
      <sheetData sheetId="1"/>
      <sheetData sheetId="2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24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228</v>
          </cell>
        </row>
        <row r="4">
          <cell r="L4">
            <v>42</v>
          </cell>
        </row>
      </sheetData>
      <sheetData sheetId="1"/>
      <sheetData sheetId="2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91</v>
          </cell>
        </row>
        <row r="4">
          <cell r="L4">
            <v>4</v>
          </cell>
        </row>
      </sheetData>
      <sheetData sheetId="1"/>
      <sheetData sheetId="2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324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56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30</v>
          </cell>
        </row>
        <row r="4">
          <cell r="L4">
            <v>24</v>
          </cell>
        </row>
      </sheetData>
      <sheetData sheetId="1"/>
      <sheetData sheetId="2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55</v>
          </cell>
        </row>
        <row r="4">
          <cell r="L4">
            <v>48</v>
          </cell>
        </row>
      </sheetData>
      <sheetData sheetId="1" refreshError="1"/>
      <sheetData sheetId="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160</v>
          </cell>
        </row>
        <row r="4">
          <cell r="L4">
            <v>64</v>
          </cell>
        </row>
      </sheetData>
      <sheetData sheetId="1" refreshError="1"/>
      <sheetData sheetId="2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72</v>
          </cell>
        </row>
        <row r="4">
          <cell r="L4">
            <v>80</v>
          </cell>
        </row>
      </sheetData>
      <sheetData sheetId="1" refreshError="1"/>
      <sheetData sheetId="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146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76</v>
          </cell>
        </row>
        <row r="4">
          <cell r="L4">
            <v>30</v>
          </cell>
        </row>
      </sheetData>
      <sheetData sheetId="1"/>
      <sheetData sheetId="2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105</v>
          </cell>
        </row>
        <row r="4">
          <cell r="L4">
            <v>9</v>
          </cell>
        </row>
      </sheetData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21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207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  <sheetName val="H-025_Geräte_Pass"/>
    </sheetNames>
    <sheetDataSet>
      <sheetData sheetId="0" refreshError="1">
        <row r="3">
          <cell r="L3">
            <v>25</v>
          </cell>
        </row>
        <row r="4">
          <cell r="L4">
            <v>10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55</v>
          </cell>
        </row>
      </sheetData>
      <sheetData sheetId="1" refreshError="1"/>
      <sheetData sheetId="2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588</v>
          </cell>
        </row>
        <row r="4">
          <cell r="L4">
            <v>182</v>
          </cell>
        </row>
      </sheetData>
      <sheetData sheetId="1"/>
      <sheetData sheetId="2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552</v>
          </cell>
        </row>
        <row r="4">
          <cell r="L4">
            <v>156</v>
          </cell>
        </row>
      </sheetData>
      <sheetData sheetId="1" refreshError="1"/>
      <sheetData sheetId="2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38</v>
          </cell>
        </row>
        <row r="4">
          <cell r="L4">
            <v>18</v>
          </cell>
        </row>
      </sheetData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71</v>
          </cell>
        </row>
        <row r="4">
          <cell r="L4">
            <v>71</v>
          </cell>
        </row>
      </sheetData>
      <sheetData sheetId="1" refreshError="1"/>
      <sheetData sheetId="2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36</v>
          </cell>
        </row>
        <row r="4">
          <cell r="L4">
            <v>36</v>
          </cell>
        </row>
      </sheetData>
      <sheetData sheetId="1" refreshError="1"/>
      <sheetData sheetId="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42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24</v>
          </cell>
        </row>
        <row r="4">
          <cell r="L4">
            <v>18</v>
          </cell>
        </row>
      </sheetData>
      <sheetData sheetId="1"/>
      <sheetData sheetId="2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18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314</v>
          </cell>
        </row>
        <row r="4">
          <cell r="L4">
            <v>135</v>
          </cell>
        </row>
      </sheetData>
      <sheetData sheetId="1"/>
      <sheetData sheetId="2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52</v>
          </cell>
        </row>
        <row r="4">
          <cell r="L4">
            <v>39</v>
          </cell>
        </row>
      </sheetData>
      <sheetData sheetId="1"/>
      <sheetData sheetId="2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297</v>
          </cell>
        </row>
        <row r="4">
          <cell r="L4">
            <v>55</v>
          </cell>
        </row>
      </sheetData>
      <sheetData sheetId="1"/>
      <sheetData sheetId="2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451</v>
          </cell>
        </row>
        <row r="4">
          <cell r="L4">
            <v>154</v>
          </cell>
        </row>
      </sheetData>
      <sheetData sheetId="1"/>
      <sheetData sheetId="2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16</v>
          </cell>
        </row>
        <row r="4">
          <cell r="L4">
            <v>12</v>
          </cell>
        </row>
      </sheetData>
      <sheetData sheetId="1"/>
      <sheetData sheetId="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24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156</v>
          </cell>
        </row>
        <row r="4">
          <cell r="L4">
            <v>20</v>
          </cell>
        </row>
      </sheetData>
      <sheetData sheetId="1"/>
      <sheetData sheetId="2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70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128</v>
          </cell>
        </row>
        <row r="4">
          <cell r="L4">
            <v>96</v>
          </cell>
        </row>
      </sheetData>
      <sheetData sheetId="1" refreshError="1"/>
      <sheetData sheetId="2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10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694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192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8</v>
          </cell>
        </row>
      </sheetData>
      <sheetData sheetId="1"/>
      <sheetData sheetId="2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223</v>
          </cell>
        </row>
      </sheetData>
      <sheetData sheetId="1"/>
      <sheetData sheetId="2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156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65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105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16</v>
          </cell>
        </row>
      </sheetData>
      <sheetData sheetId="1"/>
      <sheetData sheetId="2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220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234</v>
          </cell>
        </row>
        <row r="4">
          <cell r="L4">
            <v>18</v>
          </cell>
        </row>
      </sheetData>
      <sheetData sheetId="1"/>
      <sheetData sheetId="2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24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68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60</v>
          </cell>
        </row>
      </sheetData>
      <sheetData sheetId="1"/>
      <sheetData sheetId="2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175</v>
          </cell>
        </row>
        <row r="4">
          <cell r="L4">
            <v>21</v>
          </cell>
        </row>
      </sheetData>
      <sheetData sheetId="1"/>
      <sheetData sheetId="2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50</v>
          </cell>
        </row>
        <row r="4">
          <cell r="L4">
            <v>44</v>
          </cell>
        </row>
      </sheetData>
      <sheetData sheetId="1"/>
      <sheetData sheetId="2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818</v>
          </cell>
        </row>
        <row r="4">
          <cell r="L4">
            <v>162</v>
          </cell>
        </row>
      </sheetData>
      <sheetData sheetId="1"/>
      <sheetData sheetId="2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264</v>
          </cell>
        </row>
        <row r="4">
          <cell r="L4">
            <v>22</v>
          </cell>
        </row>
      </sheetData>
      <sheetData sheetId="1"/>
      <sheetData sheetId="2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8</v>
          </cell>
        </row>
        <row r="4">
          <cell r="L4">
            <v>3</v>
          </cell>
        </row>
      </sheetData>
      <sheetData sheetId="1" refreshError="1"/>
      <sheetData sheetId="2" refreshError="1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160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46</v>
          </cell>
        </row>
      </sheetData>
      <sheetData sheetId="1" refreshError="1"/>
      <sheetData sheetId="2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185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784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320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73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12</v>
          </cell>
        </row>
        <row r="4">
          <cell r="L4">
            <v>16</v>
          </cell>
        </row>
      </sheetData>
      <sheetData sheetId="1"/>
      <sheetData sheetId="2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145</v>
          </cell>
        </row>
        <row r="4">
          <cell r="L4">
            <v>45</v>
          </cell>
        </row>
      </sheetData>
      <sheetData sheetId="1"/>
      <sheetData sheetId="2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27</v>
          </cell>
        </row>
      </sheetData>
      <sheetData sheetId="1"/>
      <sheetData sheetId="2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23</v>
          </cell>
        </row>
      </sheetData>
      <sheetData sheetId="1"/>
      <sheetData sheetId="2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24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32</v>
          </cell>
        </row>
        <row r="4">
          <cell r="L4">
            <v>128</v>
          </cell>
        </row>
      </sheetData>
      <sheetData sheetId="1" refreshError="1"/>
      <sheetData sheetId="2" refreshError="1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54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72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60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435</v>
          </cell>
        </row>
        <row r="4">
          <cell r="L4">
            <v>35</v>
          </cell>
        </row>
      </sheetData>
      <sheetData sheetId="1" refreshError="1"/>
      <sheetData sheetId="2" refreshError="1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65</v>
          </cell>
        </row>
        <row r="4">
          <cell r="L4">
            <v>30</v>
          </cell>
        </row>
      </sheetData>
      <sheetData sheetId="1"/>
      <sheetData sheetId="2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73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126</v>
          </cell>
        </row>
        <row r="4">
          <cell r="L4">
            <v>6</v>
          </cell>
        </row>
      </sheetData>
      <sheetData sheetId="1" refreshError="1"/>
      <sheetData sheetId="2" refreshError="1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</v>
          </cell>
        </row>
        <row r="4">
          <cell r="L4">
            <v>22</v>
          </cell>
        </row>
      </sheetData>
      <sheetData sheetId="1"/>
      <sheetData sheetId="2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</v>
          </cell>
        </row>
        <row r="4">
          <cell r="L4">
            <v>9</v>
          </cell>
        </row>
      </sheetData>
      <sheetData sheetId="1"/>
      <sheetData sheetId="2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30</v>
          </cell>
        </row>
        <row r="4">
          <cell r="L4">
            <v>10</v>
          </cell>
        </row>
      </sheetData>
      <sheetData sheetId="1" refreshError="1"/>
      <sheetData sheetId="2" refreshError="1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</v>
          </cell>
        </row>
        <row r="4">
          <cell r="L4">
            <v>10</v>
          </cell>
        </row>
      </sheetData>
      <sheetData sheetId="1"/>
      <sheetData sheetId="2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8</v>
          </cell>
        </row>
        <row r="4">
          <cell r="L4">
            <v>2</v>
          </cell>
        </row>
      </sheetData>
      <sheetData sheetId="1"/>
      <sheetData sheetId="2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4</v>
          </cell>
        </row>
        <row r="4">
          <cell r="L4">
            <v>3</v>
          </cell>
        </row>
      </sheetData>
      <sheetData sheetId="1"/>
      <sheetData sheetId="2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265</v>
          </cell>
        </row>
        <row r="4">
          <cell r="L4">
            <v>45</v>
          </cell>
        </row>
      </sheetData>
      <sheetData sheetId="1"/>
      <sheetData sheetId="2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18</v>
          </cell>
        </row>
      </sheetData>
      <sheetData sheetId="1"/>
      <sheetData sheetId="2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20</v>
          </cell>
        </row>
      </sheetData>
      <sheetData sheetId="1"/>
      <sheetData sheetId="2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11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42</v>
          </cell>
        </row>
      </sheetData>
      <sheetData sheetId="1" refreshError="1"/>
      <sheetData sheetId="2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36</v>
          </cell>
        </row>
        <row r="4">
          <cell r="L4">
            <v>16</v>
          </cell>
        </row>
      </sheetData>
      <sheetData sheetId="1" refreshError="1"/>
      <sheetData sheetId="2" refreshError="1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24</v>
          </cell>
        </row>
        <row r="4">
          <cell r="L4">
            <v>4</v>
          </cell>
        </row>
      </sheetData>
      <sheetData sheetId="1" refreshError="1"/>
      <sheetData sheetId="2" refreshError="1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48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26</v>
          </cell>
        </row>
      </sheetData>
      <sheetData sheetId="1"/>
      <sheetData sheetId="2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52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</v>
          </cell>
        </row>
      </sheetData>
      <sheetData sheetId="1"/>
      <sheetData sheetId="2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378</v>
          </cell>
        </row>
      </sheetData>
      <sheetData sheetId="1"/>
      <sheetData sheetId="2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24</v>
          </cell>
        </row>
        <row r="4">
          <cell r="L4">
            <v>20</v>
          </cell>
        </row>
      </sheetData>
      <sheetData sheetId="1"/>
      <sheetData sheetId="2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21</v>
          </cell>
        </row>
      </sheetData>
      <sheetData sheetId="1"/>
      <sheetData sheetId="2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14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90</v>
          </cell>
        </row>
        <row r="4">
          <cell r="L4">
            <v>90</v>
          </cell>
        </row>
      </sheetData>
      <sheetData sheetId="1"/>
      <sheetData sheetId="2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</v>
          </cell>
        </row>
        <row r="4">
          <cell r="L4">
            <v>9</v>
          </cell>
        </row>
      </sheetData>
      <sheetData sheetId="1"/>
      <sheetData sheetId="2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48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27</v>
          </cell>
        </row>
        <row r="4">
          <cell r="L4">
            <v>12</v>
          </cell>
        </row>
      </sheetData>
      <sheetData sheetId="1"/>
      <sheetData sheetId="2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826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8</v>
          </cell>
        </row>
        <row r="4">
          <cell r="L4">
            <v>24</v>
          </cell>
        </row>
      </sheetData>
      <sheetData sheetId="1" refreshError="1"/>
      <sheetData sheetId="2" refreshError="1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166</v>
          </cell>
        </row>
        <row r="4">
          <cell r="L4">
            <v>7</v>
          </cell>
        </row>
      </sheetData>
      <sheetData sheetId="1"/>
      <sheetData sheetId="2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40</v>
          </cell>
        </row>
        <row r="4">
          <cell r="L4">
            <v>24</v>
          </cell>
        </row>
      </sheetData>
      <sheetData sheetId="1"/>
      <sheetData sheetId="2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7</v>
          </cell>
        </row>
      </sheetData>
      <sheetData sheetId="1" refreshError="1"/>
      <sheetData sheetId="2" refreshError="1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20</v>
          </cell>
        </row>
      </sheetData>
      <sheetData sheetId="1"/>
      <sheetData sheetId="2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19</v>
          </cell>
        </row>
      </sheetData>
      <sheetData sheetId="1"/>
      <sheetData sheetId="2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154</v>
          </cell>
        </row>
      </sheetData>
      <sheetData sheetId="1"/>
      <sheetData sheetId="2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4</v>
          </cell>
        </row>
      </sheetData>
      <sheetData sheetId="1" refreshError="1"/>
      <sheetData sheetId="2" refreshError="1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60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30</v>
          </cell>
        </row>
        <row r="4">
          <cell r="L4">
            <v>0</v>
          </cell>
        </row>
      </sheetData>
      <sheetData sheetId="1" refreshError="1"/>
      <sheetData sheetId="2" refreshError="1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1</v>
          </cell>
        </row>
      </sheetData>
      <sheetData sheetId="1" refreshError="1"/>
      <sheetData sheetId="2" refreshError="1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9</v>
          </cell>
        </row>
        <row r="4">
          <cell r="L4">
            <v>4</v>
          </cell>
        </row>
      </sheetData>
      <sheetData sheetId="1" refreshError="1"/>
      <sheetData sheetId="2" refreshError="1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4</v>
          </cell>
        </row>
        <row r="4">
          <cell r="L4">
            <v>8</v>
          </cell>
        </row>
      </sheetData>
      <sheetData sheetId="1"/>
      <sheetData sheetId="2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21</v>
          </cell>
        </row>
        <row r="4">
          <cell r="L4">
            <v>0</v>
          </cell>
        </row>
      </sheetData>
      <sheetData sheetId="1"/>
      <sheetData sheetId="2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8</v>
          </cell>
        </row>
      </sheetData>
      <sheetData sheetId="1" refreshError="1"/>
      <sheetData sheetId="2" refreshError="1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  <row r="4">
          <cell r="L4">
            <v>7</v>
          </cell>
        </row>
      </sheetData>
      <sheetData sheetId="1"/>
      <sheetData sheetId="2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</sheetData>
      <sheetData sheetId="1" refreshError="1"/>
      <sheetData sheetId="2" refreshError="1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4">
          <cell r="L4">
            <v>4</v>
          </cell>
        </row>
      </sheetData>
      <sheetData sheetId="1"/>
      <sheetData sheetId="2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</v>
          </cell>
        </row>
        <row r="4">
          <cell r="L4">
            <v>3</v>
          </cell>
        </row>
      </sheetData>
      <sheetData sheetId="1" refreshError="1"/>
      <sheetData sheetId="2" refreshError="1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5</v>
          </cell>
        </row>
      </sheetData>
      <sheetData sheetId="1" refreshError="1"/>
      <sheetData sheetId="2" refreshError="1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12</v>
          </cell>
        </row>
      </sheetData>
      <sheetData sheetId="1" refreshError="1"/>
      <sheetData sheetId="2" refreshError="1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4">
          <cell r="L4">
            <v>6</v>
          </cell>
        </row>
      </sheetData>
      <sheetData sheetId="1" refreshError="1"/>
      <sheetData sheetId="2" refreshError="1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3</v>
          </cell>
        </row>
        <row r="4">
          <cell r="L4">
            <v>6</v>
          </cell>
        </row>
      </sheetData>
      <sheetData sheetId="1"/>
      <sheetData sheetId="2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7</v>
          </cell>
        </row>
      </sheetData>
      <sheetData sheetId="1"/>
      <sheetData sheetId="2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3">
          <cell r="L3">
            <v>0</v>
          </cell>
        </row>
        <row r="4">
          <cell r="L4">
            <v>8</v>
          </cell>
        </row>
      </sheetData>
      <sheetData sheetId="1" refreshError="1"/>
      <sheetData sheetId="2" refreshError="1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 refreshError="1">
        <row r="4">
          <cell r="L4">
            <v>15</v>
          </cell>
        </row>
      </sheetData>
      <sheetData sheetId="1" refreshError="1"/>
      <sheetData sheetId="2" refreshError="1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  <sheetName val="H-000"/>
    </sheetNames>
    <sheetDataSet>
      <sheetData sheetId="0" refreshError="1">
        <row r="3">
          <cell r="L3">
            <v>1</v>
          </cell>
        </row>
        <row r="4">
          <cell r="L4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le1"/>
      <sheetName val="Tabelle2"/>
      <sheetName val="Tabelle3"/>
    </sheetNames>
    <sheetDataSet>
      <sheetData sheetId="0">
        <row r="3">
          <cell r="L3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H175"/>
  <sheetViews>
    <sheetView tabSelected="1" zoomScale="70" zoomScaleNormal="70" workbookViewId="0">
      <pane xSplit="1" ySplit="2" topLeftCell="B53" activePane="bottomRight" state="frozen"/>
      <selection pane="topRight" activeCell="B1" sqref="B1"/>
      <selection pane="bottomLeft" activeCell="A3" sqref="A3"/>
      <selection pane="bottomRight" activeCell="T88" sqref="T88"/>
    </sheetView>
  </sheetViews>
  <sheetFormatPr baseColWidth="10" defaultRowHeight="12.75" x14ac:dyDescent="0.2"/>
  <cols>
    <col min="1" max="1" width="10.7109375" style="41" customWidth="1"/>
    <col min="2" max="2" width="6.7109375" style="3" customWidth="1"/>
    <col min="3" max="3" width="25.7109375" style="4" customWidth="1"/>
    <col min="4" max="4" width="5.7109375" style="1" customWidth="1"/>
    <col min="5" max="5" width="6.7109375" style="1" customWidth="1"/>
    <col min="6" max="6" width="4.7109375" style="1" customWidth="1"/>
    <col min="7" max="7" width="8" style="1" customWidth="1"/>
    <col min="8" max="8" width="6.7109375" style="1" customWidth="1"/>
    <col min="9" max="9" width="5.7109375" style="1" customWidth="1"/>
    <col min="10" max="10" width="8.7109375" style="1" customWidth="1"/>
    <col min="11" max="11" width="9.28515625" style="1" customWidth="1"/>
    <col min="12" max="13" width="5.7109375" style="1" customWidth="1"/>
    <col min="14" max="14" width="6.7109375" style="1" customWidth="1"/>
    <col min="15" max="15" width="9.7109375" style="1" customWidth="1"/>
    <col min="16" max="16" width="8.7109375" style="1" customWidth="1"/>
    <col min="17" max="17" width="7.42578125" style="1" customWidth="1"/>
    <col min="18" max="18" width="5.7109375" style="1" customWidth="1"/>
    <col min="19" max="19" width="7" style="1" customWidth="1"/>
    <col min="20" max="20" width="9" style="1" customWidth="1"/>
    <col min="21" max="21" width="9.85546875" style="1" customWidth="1"/>
    <col min="22" max="22" width="8.5703125" style="1" customWidth="1"/>
    <col min="23" max="23" width="9.5703125" style="1" customWidth="1"/>
    <col min="24" max="24" width="18.42578125" style="1" customWidth="1"/>
    <col min="25" max="25" width="34.42578125" style="5" customWidth="1"/>
    <col min="26" max="26" width="23.5703125" style="5" customWidth="1"/>
    <col min="27" max="27" width="25.5703125" customWidth="1"/>
    <col min="28" max="28" width="24.5703125" customWidth="1"/>
    <col min="29" max="29" width="32.28515625" customWidth="1"/>
    <col min="30" max="30" width="30.5703125" customWidth="1"/>
    <col min="33" max="33" width="9.140625" customWidth="1"/>
    <col min="34" max="34" width="9" customWidth="1"/>
  </cols>
  <sheetData>
    <row r="1" spans="1:34" s="40" customFormat="1" ht="34.5" customHeight="1" x14ac:dyDescent="0.2">
      <c r="A1" s="297" t="s">
        <v>225</v>
      </c>
      <c r="B1" s="279" t="s">
        <v>0</v>
      </c>
      <c r="C1" s="299" t="s">
        <v>226</v>
      </c>
      <c r="D1" s="296" t="s">
        <v>139</v>
      </c>
      <c r="E1" s="279" t="s">
        <v>193</v>
      </c>
      <c r="F1" s="289" t="s">
        <v>1</v>
      </c>
      <c r="G1" s="290"/>
      <c r="H1" s="279" t="s">
        <v>227</v>
      </c>
      <c r="I1" s="279" t="s">
        <v>190</v>
      </c>
      <c r="J1" s="279" t="s">
        <v>228</v>
      </c>
      <c r="K1" s="292" t="s">
        <v>192</v>
      </c>
      <c r="L1" s="294" t="s">
        <v>205</v>
      </c>
      <c r="M1" s="295"/>
      <c r="N1" s="279" t="s">
        <v>229</v>
      </c>
      <c r="O1" s="296" t="s">
        <v>189</v>
      </c>
      <c r="P1" s="279" t="s">
        <v>191</v>
      </c>
      <c r="Q1" s="279" t="s">
        <v>433</v>
      </c>
      <c r="R1" s="279" t="s">
        <v>357</v>
      </c>
      <c r="S1" s="279" t="s">
        <v>885</v>
      </c>
      <c r="T1" s="279" t="s">
        <v>409</v>
      </c>
      <c r="U1" s="279" t="s">
        <v>393</v>
      </c>
      <c r="V1" s="279" t="s">
        <v>394</v>
      </c>
      <c r="W1" s="279" t="s">
        <v>1440</v>
      </c>
      <c r="X1" s="279" t="s">
        <v>583</v>
      </c>
      <c r="Y1" s="287" t="s">
        <v>142</v>
      </c>
      <c r="Z1" s="283" t="s">
        <v>1035</v>
      </c>
      <c r="AA1" s="281" t="s">
        <v>886</v>
      </c>
      <c r="AB1" s="284" t="s">
        <v>887</v>
      </c>
      <c r="AC1" s="248" t="s">
        <v>1391</v>
      </c>
    </row>
    <row r="2" spans="1:34" s="40" customFormat="1" ht="19.5" customHeight="1" x14ac:dyDescent="0.2">
      <c r="A2" s="298"/>
      <c r="B2" s="291"/>
      <c r="C2" s="300"/>
      <c r="D2" s="286"/>
      <c r="E2" s="286"/>
      <c r="F2" s="35" t="s">
        <v>140</v>
      </c>
      <c r="G2" s="36" t="s">
        <v>141</v>
      </c>
      <c r="H2" s="291"/>
      <c r="I2" s="291"/>
      <c r="J2" s="286"/>
      <c r="K2" s="293"/>
      <c r="L2" s="37" t="s">
        <v>207</v>
      </c>
      <c r="M2" s="37" t="s">
        <v>206</v>
      </c>
      <c r="N2" s="286"/>
      <c r="O2" s="286"/>
      <c r="P2" s="286"/>
      <c r="Q2" s="286"/>
      <c r="R2" s="286"/>
      <c r="S2" s="286"/>
      <c r="T2" s="291"/>
      <c r="U2" s="286"/>
      <c r="V2" s="286"/>
      <c r="W2" s="280"/>
      <c r="X2" s="280"/>
      <c r="Y2" s="288"/>
      <c r="Z2" s="280"/>
      <c r="AA2" s="282"/>
      <c r="AB2" s="285"/>
      <c r="AC2" s="247"/>
    </row>
    <row r="3" spans="1:34" s="2" customFormat="1" ht="38.25" customHeight="1" x14ac:dyDescent="0.2">
      <c r="A3" s="214" t="s">
        <v>180</v>
      </c>
      <c r="B3" s="173" t="s">
        <v>416</v>
      </c>
      <c r="C3" s="167" t="s">
        <v>1415</v>
      </c>
      <c r="D3" s="166" t="s">
        <v>1156</v>
      </c>
      <c r="E3" s="166" t="s">
        <v>208</v>
      </c>
      <c r="F3" s="168" t="s">
        <v>176</v>
      </c>
      <c r="G3" s="168" t="s">
        <v>1166</v>
      </c>
      <c r="H3" s="168">
        <v>1</v>
      </c>
      <c r="I3" s="168">
        <v>2</v>
      </c>
      <c r="J3" s="175">
        <v>48478</v>
      </c>
      <c r="K3" s="195" t="s">
        <v>872</v>
      </c>
      <c r="L3" s="168">
        <v>16</v>
      </c>
      <c r="M3" s="168"/>
      <c r="N3" s="168" t="s">
        <v>213</v>
      </c>
      <c r="O3" s="168" t="s">
        <v>211</v>
      </c>
      <c r="P3" s="168" t="s">
        <v>964</v>
      </c>
      <c r="Q3" s="170"/>
      <c r="R3" s="169"/>
      <c r="S3" s="168" t="s">
        <v>877</v>
      </c>
      <c r="T3" s="168"/>
      <c r="U3" s="168"/>
      <c r="V3" s="168" t="s">
        <v>877</v>
      </c>
      <c r="W3" s="238"/>
      <c r="X3" s="171" t="s">
        <v>1322</v>
      </c>
      <c r="Y3" s="171"/>
      <c r="Z3" s="238" t="s">
        <v>1144</v>
      </c>
      <c r="AA3" s="208" t="s">
        <v>1145</v>
      </c>
      <c r="AB3" s="208" t="s">
        <v>1146</v>
      </c>
      <c r="AC3" s="250" t="s">
        <v>1392</v>
      </c>
    </row>
    <row r="4" spans="1:34" s="2" customFormat="1" ht="38.25" customHeight="1" x14ac:dyDescent="0.2">
      <c r="A4" s="214" t="s">
        <v>186</v>
      </c>
      <c r="B4" s="166" t="s">
        <v>76</v>
      </c>
      <c r="C4" s="167" t="s">
        <v>335</v>
      </c>
      <c r="D4" s="166">
        <v>40</v>
      </c>
      <c r="E4" s="166" t="s">
        <v>208</v>
      </c>
      <c r="F4" s="168" t="s">
        <v>3</v>
      </c>
      <c r="G4" s="168" t="s">
        <v>219</v>
      </c>
      <c r="H4" s="168">
        <v>134</v>
      </c>
      <c r="I4" s="168">
        <v>2</v>
      </c>
      <c r="J4" s="216">
        <v>33917</v>
      </c>
      <c r="K4" s="194" t="s">
        <v>515</v>
      </c>
      <c r="L4" s="168">
        <v>32</v>
      </c>
      <c r="M4" s="168">
        <v>0</v>
      </c>
      <c r="N4" s="168" t="s">
        <v>213</v>
      </c>
      <c r="O4" s="168" t="s">
        <v>211</v>
      </c>
      <c r="P4" s="168" t="s">
        <v>224</v>
      </c>
      <c r="Q4" s="170" t="s">
        <v>860</v>
      </c>
      <c r="R4" s="169" t="s">
        <v>435</v>
      </c>
      <c r="S4" s="168" t="s">
        <v>877</v>
      </c>
      <c r="T4" s="168">
        <v>2</v>
      </c>
      <c r="U4" s="168"/>
      <c r="V4" s="168" t="s">
        <v>877</v>
      </c>
      <c r="W4" s="171"/>
      <c r="X4" s="171" t="s">
        <v>1241</v>
      </c>
      <c r="Y4" s="171"/>
      <c r="Z4" s="238" t="s">
        <v>1114</v>
      </c>
      <c r="AA4" s="208" t="s">
        <v>1115</v>
      </c>
      <c r="AB4" s="208" t="s">
        <v>1116</v>
      </c>
      <c r="AC4" s="250" t="s">
        <v>1392</v>
      </c>
    </row>
    <row r="5" spans="1:34" s="2" customFormat="1" ht="38.25" customHeight="1" x14ac:dyDescent="0.2">
      <c r="A5" s="214" t="s">
        <v>187</v>
      </c>
      <c r="B5" s="166" t="s">
        <v>76</v>
      </c>
      <c r="C5" s="167" t="s">
        <v>335</v>
      </c>
      <c r="D5" s="166">
        <v>140</v>
      </c>
      <c r="E5" s="166" t="s">
        <v>208</v>
      </c>
      <c r="F5" s="168" t="s">
        <v>3</v>
      </c>
      <c r="G5" s="168" t="s">
        <v>259</v>
      </c>
      <c r="H5" s="168">
        <v>235</v>
      </c>
      <c r="I5" s="168">
        <v>2</v>
      </c>
      <c r="J5" s="217">
        <v>28584</v>
      </c>
      <c r="K5" s="194" t="s">
        <v>210</v>
      </c>
      <c r="L5" s="168">
        <v>16</v>
      </c>
      <c r="M5" s="168">
        <v>4</v>
      </c>
      <c r="N5" s="168"/>
      <c r="O5" s="168" t="s">
        <v>211</v>
      </c>
      <c r="P5" s="168" t="s">
        <v>224</v>
      </c>
      <c r="Q5" s="170" t="s">
        <v>860</v>
      </c>
      <c r="R5" s="167" t="s">
        <v>435</v>
      </c>
      <c r="S5" s="168" t="s">
        <v>877</v>
      </c>
      <c r="T5" s="168">
        <v>2</v>
      </c>
      <c r="U5" s="175"/>
      <c r="V5" s="175" t="s">
        <v>877</v>
      </c>
      <c r="W5" s="171"/>
      <c r="X5" s="171" t="s">
        <v>1244</v>
      </c>
      <c r="Y5" s="171"/>
      <c r="Z5" s="239" t="s">
        <v>1015</v>
      </c>
      <c r="AA5" s="208" t="s">
        <v>935</v>
      </c>
      <c r="AB5" s="208" t="s">
        <v>936</v>
      </c>
      <c r="AC5" s="251" t="s">
        <v>1403</v>
      </c>
    </row>
    <row r="6" spans="1:34" s="2" customFormat="1" ht="38.25" customHeight="1" x14ac:dyDescent="0.2">
      <c r="A6" s="215" t="s">
        <v>56</v>
      </c>
      <c r="B6" s="205" t="s">
        <v>539</v>
      </c>
      <c r="C6" s="187" t="s">
        <v>303</v>
      </c>
      <c r="D6" s="178">
        <v>40</v>
      </c>
      <c r="E6" s="178" t="s">
        <v>208</v>
      </c>
      <c r="F6" s="175" t="s">
        <v>3</v>
      </c>
      <c r="G6" s="175" t="s">
        <v>1149</v>
      </c>
      <c r="H6" s="175">
        <v>258</v>
      </c>
      <c r="I6" s="175">
        <v>1</v>
      </c>
      <c r="J6" s="218">
        <v>41897</v>
      </c>
      <c r="K6" s="195" t="s">
        <v>210</v>
      </c>
      <c r="L6" s="175">
        <v>4</v>
      </c>
      <c r="M6" s="175">
        <v>0</v>
      </c>
      <c r="N6" s="168" t="s">
        <v>524</v>
      </c>
      <c r="O6" s="178" t="s">
        <v>211</v>
      </c>
      <c r="P6" s="175" t="s">
        <v>953</v>
      </c>
      <c r="Q6" s="189" t="s">
        <v>860</v>
      </c>
      <c r="R6" s="187" t="s">
        <v>465</v>
      </c>
      <c r="S6" s="175" t="s">
        <v>877</v>
      </c>
      <c r="T6" s="175">
        <v>3</v>
      </c>
      <c r="U6" s="175"/>
      <c r="V6" s="175" t="s">
        <v>877</v>
      </c>
      <c r="W6" s="238"/>
      <c r="X6" s="171"/>
      <c r="Y6" s="171"/>
      <c r="Z6" s="202" t="s">
        <v>1434</v>
      </c>
      <c r="AA6" s="208"/>
      <c r="AB6" s="208"/>
      <c r="AC6" s="249"/>
    </row>
    <row r="7" spans="1:34" s="2" customFormat="1" ht="38.25" customHeight="1" x14ac:dyDescent="0.2">
      <c r="A7" s="214" t="s">
        <v>423</v>
      </c>
      <c r="B7" s="173" t="s">
        <v>416</v>
      </c>
      <c r="C7" s="167" t="s">
        <v>425</v>
      </c>
      <c r="D7" s="167" t="s">
        <v>424</v>
      </c>
      <c r="E7" s="166" t="s">
        <v>208</v>
      </c>
      <c r="F7" s="168" t="s">
        <v>3</v>
      </c>
      <c r="G7" s="172" t="s">
        <v>266</v>
      </c>
      <c r="H7" s="168">
        <v>77</v>
      </c>
      <c r="I7" s="168">
        <v>1</v>
      </c>
      <c r="J7" s="168">
        <v>46628</v>
      </c>
      <c r="K7" s="194" t="s">
        <v>515</v>
      </c>
      <c r="L7" s="168">
        <v>16</v>
      </c>
      <c r="M7" s="168">
        <v>8</v>
      </c>
      <c r="N7" s="168" t="s">
        <v>524</v>
      </c>
      <c r="O7" s="166" t="s">
        <v>212</v>
      </c>
      <c r="P7" s="168" t="s">
        <v>953</v>
      </c>
      <c r="Q7" s="170" t="s">
        <v>860</v>
      </c>
      <c r="R7" s="169" t="s">
        <v>474</v>
      </c>
      <c r="S7" s="168" t="s">
        <v>877</v>
      </c>
      <c r="T7" s="168">
        <v>8</v>
      </c>
      <c r="U7" s="175"/>
      <c r="V7" s="175" t="s">
        <v>877</v>
      </c>
      <c r="W7" s="238"/>
      <c r="X7" s="171" t="s">
        <v>1324</v>
      </c>
      <c r="Y7" s="171"/>
      <c r="Z7" s="238" t="s">
        <v>1119</v>
      </c>
      <c r="AA7" s="208" t="s">
        <v>1120</v>
      </c>
      <c r="AB7" s="208" t="s">
        <v>1121</v>
      </c>
      <c r="AC7" s="251" t="s">
        <v>1402</v>
      </c>
    </row>
    <row r="8" spans="1:34" s="2" customFormat="1" ht="38.25" customHeight="1" x14ac:dyDescent="0.2">
      <c r="A8" s="39" t="s">
        <v>518</v>
      </c>
      <c r="B8" s="224" t="s">
        <v>519</v>
      </c>
      <c r="C8" s="187" t="s">
        <v>521</v>
      </c>
      <c r="D8" s="187"/>
      <c r="E8" s="178"/>
      <c r="F8" s="191" t="s">
        <v>3</v>
      </c>
      <c r="G8" s="191" t="s">
        <v>656</v>
      </c>
      <c r="H8" s="175">
        <v>26</v>
      </c>
      <c r="I8" s="175">
        <v>3</v>
      </c>
      <c r="J8" s="175">
        <v>46911</v>
      </c>
      <c r="K8" s="195" t="s">
        <v>515</v>
      </c>
      <c r="L8" s="175">
        <v>0</v>
      </c>
      <c r="M8" s="175">
        <v>0</v>
      </c>
      <c r="N8" s="175"/>
      <c r="O8" s="178" t="s">
        <v>520</v>
      </c>
      <c r="P8" s="175" t="s">
        <v>953</v>
      </c>
      <c r="Q8" s="189" t="s">
        <v>860</v>
      </c>
      <c r="R8" s="187"/>
      <c r="S8" s="175" t="s">
        <v>877</v>
      </c>
      <c r="T8" s="175"/>
      <c r="U8" s="175"/>
      <c r="V8" s="175" t="s">
        <v>877</v>
      </c>
      <c r="W8" s="171"/>
      <c r="X8" s="180" t="s">
        <v>1325</v>
      </c>
      <c r="Y8" s="192" t="s">
        <v>1147</v>
      </c>
      <c r="Z8" s="202" t="s">
        <v>912</v>
      </c>
      <c r="AA8" s="208" t="s">
        <v>933</v>
      </c>
      <c r="AB8" s="208" t="s">
        <v>934</v>
      </c>
      <c r="AC8" s="249"/>
    </row>
    <row r="9" spans="1:34" s="26" customFormat="1" ht="38.25" customHeight="1" x14ac:dyDescent="0.2">
      <c r="A9" s="214" t="s">
        <v>532</v>
      </c>
      <c r="B9" s="173" t="s">
        <v>416</v>
      </c>
      <c r="C9" s="167" t="s">
        <v>335</v>
      </c>
      <c r="D9" s="166">
        <v>180</v>
      </c>
      <c r="E9" s="166" t="s">
        <v>208</v>
      </c>
      <c r="F9" s="177" t="s">
        <v>3</v>
      </c>
      <c r="G9" s="177" t="s">
        <v>600</v>
      </c>
      <c r="H9" s="177">
        <v>294</v>
      </c>
      <c r="I9" s="168">
        <v>3</v>
      </c>
      <c r="J9" s="168">
        <v>46984</v>
      </c>
      <c r="K9" s="194" t="s">
        <v>515</v>
      </c>
      <c r="L9" s="168">
        <v>16</v>
      </c>
      <c r="M9" s="168">
        <v>0</v>
      </c>
      <c r="N9" s="168" t="s">
        <v>213</v>
      </c>
      <c r="O9" s="166" t="s">
        <v>211</v>
      </c>
      <c r="P9" s="168" t="s">
        <v>953</v>
      </c>
      <c r="Q9" s="170" t="s">
        <v>860</v>
      </c>
      <c r="R9" s="169"/>
      <c r="S9" s="168" t="s">
        <v>877</v>
      </c>
      <c r="T9" s="168">
        <v>1</v>
      </c>
      <c r="U9" s="168"/>
      <c r="V9" s="168" t="s">
        <v>877</v>
      </c>
      <c r="W9" s="238"/>
      <c r="X9" s="171" t="s">
        <v>1326</v>
      </c>
      <c r="Y9" s="181"/>
      <c r="Z9" s="238" t="s">
        <v>1017</v>
      </c>
      <c r="AA9" s="208" t="s">
        <v>1089</v>
      </c>
      <c r="AB9" s="211" t="s">
        <v>1159</v>
      </c>
      <c r="AC9" s="250" t="s">
        <v>1392</v>
      </c>
    </row>
    <row r="10" spans="1:34" s="26" customFormat="1" ht="38.25" customHeight="1" x14ac:dyDescent="0.2">
      <c r="A10" s="214" t="s">
        <v>543</v>
      </c>
      <c r="B10" s="182" t="s">
        <v>416</v>
      </c>
      <c r="C10" s="167" t="s">
        <v>544</v>
      </c>
      <c r="D10" s="166">
        <v>40</v>
      </c>
      <c r="E10" s="166" t="s">
        <v>547</v>
      </c>
      <c r="F10" s="168" t="s">
        <v>3</v>
      </c>
      <c r="G10" s="168" t="s">
        <v>972</v>
      </c>
      <c r="H10" s="168">
        <v>33</v>
      </c>
      <c r="I10" s="168">
        <v>3</v>
      </c>
      <c r="J10" s="166">
        <v>47125</v>
      </c>
      <c r="K10" s="195" t="s">
        <v>515</v>
      </c>
      <c r="L10" s="175">
        <v>16</v>
      </c>
      <c r="M10" s="175">
        <v>0</v>
      </c>
      <c r="N10" s="175" t="s">
        <v>213</v>
      </c>
      <c r="O10" s="168" t="s">
        <v>211</v>
      </c>
      <c r="P10" s="168" t="s">
        <v>953</v>
      </c>
      <c r="Q10" s="170" t="s">
        <v>860</v>
      </c>
      <c r="R10" s="169" t="s">
        <v>545</v>
      </c>
      <c r="S10" s="168" t="s">
        <v>877</v>
      </c>
      <c r="T10" s="168">
        <v>1</v>
      </c>
      <c r="U10" s="175"/>
      <c r="V10" s="168" t="s">
        <v>877</v>
      </c>
      <c r="W10" s="238"/>
      <c r="X10" s="171" t="s">
        <v>1327</v>
      </c>
      <c r="Y10" s="179"/>
      <c r="Z10" s="238" t="s">
        <v>1344</v>
      </c>
      <c r="AA10" s="208"/>
      <c r="AB10" s="220"/>
      <c r="AC10" s="250" t="s">
        <v>1392</v>
      </c>
    </row>
    <row r="11" spans="1:34" s="2" customFormat="1" ht="38.25" customHeight="1" x14ac:dyDescent="0.2">
      <c r="A11" s="214" t="s">
        <v>546</v>
      </c>
      <c r="B11" s="183" t="s">
        <v>76</v>
      </c>
      <c r="C11" s="167" t="s">
        <v>558</v>
      </c>
      <c r="D11" s="166" t="s">
        <v>347</v>
      </c>
      <c r="E11" s="166" t="s">
        <v>547</v>
      </c>
      <c r="F11" s="168" t="s">
        <v>3</v>
      </c>
      <c r="G11" s="168" t="s">
        <v>252</v>
      </c>
      <c r="H11" s="168">
        <v>92</v>
      </c>
      <c r="I11" s="168">
        <v>17</v>
      </c>
      <c r="J11" s="184">
        <v>31584</v>
      </c>
      <c r="K11" s="18" t="s">
        <v>210</v>
      </c>
      <c r="L11" s="168">
        <v>32</v>
      </c>
      <c r="M11" s="168">
        <v>0</v>
      </c>
      <c r="N11" s="185"/>
      <c r="O11" s="168" t="s">
        <v>211</v>
      </c>
      <c r="P11" s="168" t="s">
        <v>224</v>
      </c>
      <c r="Q11" s="170" t="s">
        <v>860</v>
      </c>
      <c r="R11" s="169" t="s">
        <v>465</v>
      </c>
      <c r="S11" s="168" t="s">
        <v>877</v>
      </c>
      <c r="T11" s="168"/>
      <c r="U11" s="168"/>
      <c r="V11" s="168" t="s">
        <v>877</v>
      </c>
      <c r="W11" s="171"/>
      <c r="X11" s="171" t="s">
        <v>1245</v>
      </c>
      <c r="Y11" s="188"/>
      <c r="Z11" s="238" t="s">
        <v>1018</v>
      </c>
      <c r="AA11" s="208" t="s">
        <v>965</v>
      </c>
      <c r="AB11" s="208" t="s">
        <v>966</v>
      </c>
      <c r="AC11" s="250" t="s">
        <v>1392</v>
      </c>
      <c r="AD11" s="26"/>
      <c r="AE11" s="26"/>
      <c r="AF11" s="26"/>
      <c r="AG11" s="26"/>
      <c r="AH11" s="26"/>
    </row>
    <row r="12" spans="1:34" s="209" customFormat="1" ht="38.25" customHeight="1" x14ac:dyDescent="0.2">
      <c r="A12" s="214" t="s">
        <v>553</v>
      </c>
      <c r="B12" s="173" t="s">
        <v>416</v>
      </c>
      <c r="C12" s="199" t="s">
        <v>559</v>
      </c>
      <c r="D12" s="200">
        <v>140</v>
      </c>
      <c r="E12" s="200" t="s">
        <v>552</v>
      </c>
      <c r="F12" s="191" t="s">
        <v>3</v>
      </c>
      <c r="G12" s="191" t="s">
        <v>554</v>
      </c>
      <c r="H12" s="191">
        <v>48</v>
      </c>
      <c r="I12" s="191">
        <v>2</v>
      </c>
      <c r="J12" s="207">
        <v>47097</v>
      </c>
      <c r="K12" s="195" t="s">
        <v>515</v>
      </c>
      <c r="L12" s="191">
        <v>4</v>
      </c>
      <c r="M12" s="191">
        <v>4</v>
      </c>
      <c r="N12" s="191" t="s">
        <v>213</v>
      </c>
      <c r="O12" s="191" t="s">
        <v>211</v>
      </c>
      <c r="P12" s="191" t="s">
        <v>953</v>
      </c>
      <c r="Q12" s="189" t="s">
        <v>860</v>
      </c>
      <c r="R12" s="199" t="s">
        <v>537</v>
      </c>
      <c r="S12" s="191" t="s">
        <v>877</v>
      </c>
      <c r="T12" s="191"/>
      <c r="U12" s="191"/>
      <c r="V12" s="191" t="s">
        <v>877</v>
      </c>
      <c r="W12" s="238"/>
      <c r="X12" s="202" t="s">
        <v>1328</v>
      </c>
      <c r="Y12" s="188"/>
      <c r="Z12" s="240" t="s">
        <v>1021</v>
      </c>
      <c r="AA12" s="208" t="s">
        <v>915</v>
      </c>
      <c r="AB12" s="208" t="s">
        <v>916</v>
      </c>
      <c r="AC12" s="250" t="s">
        <v>1392</v>
      </c>
      <c r="AD12" s="2"/>
      <c r="AE12" s="2"/>
      <c r="AF12" s="2"/>
      <c r="AG12" s="2"/>
      <c r="AH12" s="2"/>
    </row>
    <row r="13" spans="1:34" s="26" customFormat="1" ht="38.25" customHeight="1" x14ac:dyDescent="0.2">
      <c r="A13" s="214" t="s">
        <v>560</v>
      </c>
      <c r="B13" s="205" t="s">
        <v>539</v>
      </c>
      <c r="C13" s="167" t="s">
        <v>440</v>
      </c>
      <c r="D13" s="166">
        <v>40</v>
      </c>
      <c r="E13" s="166" t="s">
        <v>208</v>
      </c>
      <c r="F13" s="168" t="s">
        <v>3</v>
      </c>
      <c r="G13" s="168" t="s">
        <v>463</v>
      </c>
      <c r="H13" s="168">
        <v>180</v>
      </c>
      <c r="I13" s="168">
        <v>1</v>
      </c>
      <c r="J13" s="168">
        <v>47049</v>
      </c>
      <c r="K13" s="194" t="s">
        <v>548</v>
      </c>
      <c r="L13" s="168">
        <v>4</v>
      </c>
      <c r="M13" s="168">
        <v>0</v>
      </c>
      <c r="N13" s="166" t="s">
        <v>58</v>
      </c>
      <c r="O13" s="166" t="s">
        <v>212</v>
      </c>
      <c r="P13" s="168" t="s">
        <v>953</v>
      </c>
      <c r="Q13" s="170" t="s">
        <v>860</v>
      </c>
      <c r="R13" s="169" t="s">
        <v>561</v>
      </c>
      <c r="S13" s="175" t="s">
        <v>877</v>
      </c>
      <c r="T13" s="168"/>
      <c r="U13" s="175"/>
      <c r="V13" s="175" t="s">
        <v>877</v>
      </c>
      <c r="W13" s="238"/>
      <c r="X13" s="171" t="s">
        <v>1329</v>
      </c>
      <c r="Y13" s="179"/>
      <c r="Z13" s="238" t="s">
        <v>1210</v>
      </c>
      <c r="AA13" s="208" t="s">
        <v>1211</v>
      </c>
      <c r="AB13" s="211" t="s">
        <v>1212</v>
      </c>
      <c r="AC13" s="250" t="s">
        <v>1392</v>
      </c>
      <c r="AD13" s="2"/>
      <c r="AE13" s="2"/>
      <c r="AF13" s="2"/>
      <c r="AG13" s="2"/>
      <c r="AH13" s="2"/>
    </row>
    <row r="14" spans="1:34" s="26" customFormat="1" ht="38.25" customHeight="1" x14ac:dyDescent="0.2">
      <c r="A14" s="214" t="s">
        <v>562</v>
      </c>
      <c r="B14" s="173" t="s">
        <v>416</v>
      </c>
      <c r="C14" s="187" t="s">
        <v>550</v>
      </c>
      <c r="D14" s="178">
        <v>140</v>
      </c>
      <c r="E14" s="178" t="s">
        <v>208</v>
      </c>
      <c r="F14" s="175" t="s">
        <v>3</v>
      </c>
      <c r="G14" s="175" t="s">
        <v>1164</v>
      </c>
      <c r="H14" s="175">
        <v>89</v>
      </c>
      <c r="I14" s="175">
        <v>1</v>
      </c>
      <c r="J14" s="175">
        <v>48212</v>
      </c>
      <c r="K14" s="196" t="s">
        <v>660</v>
      </c>
      <c r="L14" s="175">
        <v>16</v>
      </c>
      <c r="M14" s="175">
        <v>7</v>
      </c>
      <c r="N14" s="175"/>
      <c r="O14" s="168" t="s">
        <v>211</v>
      </c>
      <c r="P14" s="175" t="s">
        <v>964</v>
      </c>
      <c r="Q14" s="189" t="s">
        <v>860</v>
      </c>
      <c r="R14" s="187" t="s">
        <v>878</v>
      </c>
      <c r="S14" s="175" t="s">
        <v>877</v>
      </c>
      <c r="T14" s="175"/>
      <c r="U14" s="175"/>
      <c r="V14" s="175" t="s">
        <v>877</v>
      </c>
      <c r="W14" s="238"/>
      <c r="X14" s="180" t="s">
        <v>1246</v>
      </c>
      <c r="Y14" s="202"/>
      <c r="Z14" s="240" t="s">
        <v>1033</v>
      </c>
      <c r="AA14" s="208" t="s">
        <v>931</v>
      </c>
      <c r="AB14" s="208" t="s">
        <v>932</v>
      </c>
      <c r="AC14" s="250" t="s">
        <v>1392</v>
      </c>
      <c r="AD14" s="2"/>
      <c r="AE14" s="2"/>
      <c r="AF14" s="2"/>
      <c r="AG14" s="2"/>
      <c r="AH14" s="2"/>
    </row>
    <row r="15" spans="1:34" s="26" customFormat="1" ht="38.25" customHeight="1" x14ac:dyDescent="0.2">
      <c r="A15" s="214" t="s">
        <v>563</v>
      </c>
      <c r="B15" s="173" t="s">
        <v>416</v>
      </c>
      <c r="C15" s="167" t="s">
        <v>565</v>
      </c>
      <c r="D15" s="166">
        <v>60</v>
      </c>
      <c r="E15" s="166" t="s">
        <v>547</v>
      </c>
      <c r="F15" s="168" t="s">
        <v>3</v>
      </c>
      <c r="G15" s="168" t="s">
        <v>971</v>
      </c>
      <c r="H15" s="168">
        <v>62</v>
      </c>
      <c r="I15" s="168">
        <v>1</v>
      </c>
      <c r="J15" s="168">
        <v>47122</v>
      </c>
      <c r="K15" s="194" t="s">
        <v>323</v>
      </c>
      <c r="L15" s="168">
        <v>16</v>
      </c>
      <c r="M15" s="168">
        <v>1</v>
      </c>
      <c r="N15" s="166"/>
      <c r="O15" s="168" t="s">
        <v>211</v>
      </c>
      <c r="P15" s="168" t="s">
        <v>953</v>
      </c>
      <c r="Q15" s="170" t="s">
        <v>860</v>
      </c>
      <c r="R15" s="170" t="s">
        <v>767</v>
      </c>
      <c r="S15" s="168" t="s">
        <v>876</v>
      </c>
      <c r="T15" s="168"/>
      <c r="U15" s="175"/>
      <c r="V15" s="175" t="s">
        <v>877</v>
      </c>
      <c r="W15" s="238"/>
      <c r="X15" s="171" t="s">
        <v>1330</v>
      </c>
      <c r="Y15" s="202"/>
      <c r="Z15" s="238" t="s">
        <v>1140</v>
      </c>
      <c r="AA15" s="208" t="s">
        <v>1177</v>
      </c>
      <c r="AB15" s="211" t="s">
        <v>1178</v>
      </c>
      <c r="AC15" s="250" t="s">
        <v>1392</v>
      </c>
      <c r="AD15" s="2"/>
      <c r="AE15" s="2"/>
      <c r="AF15" s="2"/>
      <c r="AG15" s="2"/>
      <c r="AH15" s="2"/>
    </row>
    <row r="16" spans="1:34" s="26" customFormat="1" ht="38.25" customHeight="1" x14ac:dyDescent="0.2">
      <c r="A16" s="215" t="s">
        <v>582</v>
      </c>
      <c r="B16" s="182" t="s">
        <v>416</v>
      </c>
      <c r="C16" s="187" t="s">
        <v>335</v>
      </c>
      <c r="D16" s="178"/>
      <c r="E16" s="178" t="s">
        <v>547</v>
      </c>
      <c r="F16" s="175" t="s">
        <v>3</v>
      </c>
      <c r="G16" s="175" t="s">
        <v>597</v>
      </c>
      <c r="H16" s="175">
        <v>63</v>
      </c>
      <c r="I16" s="175">
        <v>2</v>
      </c>
      <c r="J16" s="175">
        <v>47430</v>
      </c>
      <c r="K16" s="195" t="s">
        <v>548</v>
      </c>
      <c r="L16" s="175">
        <v>16</v>
      </c>
      <c r="M16" s="175">
        <v>4</v>
      </c>
      <c r="N16" s="175"/>
      <c r="O16" s="175" t="s">
        <v>211</v>
      </c>
      <c r="P16" s="175" t="s">
        <v>964</v>
      </c>
      <c r="Q16" s="189" t="s">
        <v>860</v>
      </c>
      <c r="R16" s="199"/>
      <c r="S16" s="175" t="s">
        <v>877</v>
      </c>
      <c r="T16" s="175"/>
      <c r="U16" s="175"/>
      <c r="V16" s="175" t="s">
        <v>877</v>
      </c>
      <c r="W16" s="238"/>
      <c r="X16" s="180" t="s">
        <v>1331</v>
      </c>
      <c r="Y16" s="181"/>
      <c r="Z16" s="240" t="s">
        <v>1019</v>
      </c>
      <c r="AA16" s="208" t="s">
        <v>898</v>
      </c>
      <c r="AB16" s="208" t="s">
        <v>899</v>
      </c>
      <c r="AC16" s="250" t="s">
        <v>1392</v>
      </c>
      <c r="AD16" s="2"/>
      <c r="AE16" s="2"/>
      <c r="AF16" s="2"/>
      <c r="AG16" s="2"/>
      <c r="AH16" s="2"/>
    </row>
    <row r="17" spans="1:30" s="26" customFormat="1" ht="38.25" customHeight="1" x14ac:dyDescent="0.2">
      <c r="A17" s="214" t="s">
        <v>591</v>
      </c>
      <c r="B17" s="173" t="s">
        <v>416</v>
      </c>
      <c r="C17" s="167" t="s">
        <v>335</v>
      </c>
      <c r="D17" s="166"/>
      <c r="E17" s="166" t="s">
        <v>547</v>
      </c>
      <c r="F17" s="168" t="s">
        <v>3</v>
      </c>
      <c r="G17" s="168" t="s">
        <v>597</v>
      </c>
      <c r="H17" s="168">
        <v>71</v>
      </c>
      <c r="I17" s="168">
        <v>2</v>
      </c>
      <c r="J17" s="168">
        <v>46944</v>
      </c>
      <c r="K17" s="195" t="s">
        <v>323</v>
      </c>
      <c r="L17" s="168">
        <v>8</v>
      </c>
      <c r="M17" s="168">
        <v>0</v>
      </c>
      <c r="N17" s="166"/>
      <c r="O17" s="175" t="s">
        <v>211</v>
      </c>
      <c r="P17" s="168" t="s">
        <v>953</v>
      </c>
      <c r="Q17" s="170" t="s">
        <v>860</v>
      </c>
      <c r="R17" s="169"/>
      <c r="S17" s="168" t="s">
        <v>877</v>
      </c>
      <c r="T17" s="168"/>
      <c r="U17" s="175"/>
      <c r="V17" s="175" t="s">
        <v>877</v>
      </c>
      <c r="W17" s="238"/>
      <c r="X17" s="171"/>
      <c r="Y17" s="179"/>
      <c r="Z17" s="238" t="s">
        <v>1388</v>
      </c>
      <c r="AA17" s="208" t="s">
        <v>1064</v>
      </c>
      <c r="AB17" s="211"/>
      <c r="AC17" s="251" t="s">
        <v>1395</v>
      </c>
      <c r="AD17" s="253"/>
    </row>
    <row r="18" spans="1:30" s="2" customFormat="1" ht="38.25" customHeight="1" x14ac:dyDescent="0.2">
      <c r="A18" s="214" t="s">
        <v>592</v>
      </c>
      <c r="B18" s="205" t="s">
        <v>539</v>
      </c>
      <c r="C18" s="167" t="s">
        <v>310</v>
      </c>
      <c r="D18" s="166">
        <v>195</v>
      </c>
      <c r="E18" s="166" t="s">
        <v>208</v>
      </c>
      <c r="F18" s="168" t="s">
        <v>3</v>
      </c>
      <c r="G18" s="168" t="s">
        <v>635</v>
      </c>
      <c r="H18" s="168">
        <v>49</v>
      </c>
      <c r="I18" s="168">
        <v>1</v>
      </c>
      <c r="J18" s="175">
        <v>47365</v>
      </c>
      <c r="K18" s="195" t="s">
        <v>548</v>
      </c>
      <c r="L18" s="175">
        <v>4</v>
      </c>
      <c r="M18" s="175">
        <v>1</v>
      </c>
      <c r="N18" s="166" t="s">
        <v>213</v>
      </c>
      <c r="O18" s="175" t="s">
        <v>211</v>
      </c>
      <c r="P18" s="175" t="s">
        <v>953</v>
      </c>
      <c r="Q18" s="170" t="s">
        <v>860</v>
      </c>
      <c r="R18" s="169"/>
      <c r="S18" s="175" t="s">
        <v>877</v>
      </c>
      <c r="T18" s="168"/>
      <c r="U18" s="168"/>
      <c r="V18" s="175" t="s">
        <v>877</v>
      </c>
      <c r="W18" s="238"/>
      <c r="X18" s="180" t="s">
        <v>1333</v>
      </c>
      <c r="Y18" s="179"/>
      <c r="Z18" s="238" t="s">
        <v>1408</v>
      </c>
      <c r="AA18" s="208" t="s">
        <v>1214</v>
      </c>
      <c r="AB18" s="211" t="s">
        <v>1215</v>
      </c>
      <c r="AC18" s="250" t="s">
        <v>1392</v>
      </c>
    </row>
    <row r="19" spans="1:30" s="2" customFormat="1" ht="38.25" customHeight="1" x14ac:dyDescent="0.2">
      <c r="A19" s="215" t="s">
        <v>594</v>
      </c>
      <c r="B19" s="182" t="s">
        <v>416</v>
      </c>
      <c r="C19" s="187" t="s">
        <v>335</v>
      </c>
      <c r="D19" s="178">
        <v>15</v>
      </c>
      <c r="E19" s="178" t="s">
        <v>547</v>
      </c>
      <c r="F19" s="175" t="s">
        <v>3</v>
      </c>
      <c r="G19" s="175" t="s">
        <v>1162</v>
      </c>
      <c r="H19" s="175">
        <v>64</v>
      </c>
      <c r="I19" s="175">
        <v>2</v>
      </c>
      <c r="J19" s="175">
        <v>47432</v>
      </c>
      <c r="K19" s="195" t="s">
        <v>548</v>
      </c>
      <c r="L19" s="175">
        <v>16</v>
      </c>
      <c r="M19" s="175">
        <v>9</v>
      </c>
      <c r="N19" s="175"/>
      <c r="O19" s="175" t="s">
        <v>211</v>
      </c>
      <c r="P19" s="175" t="s">
        <v>964</v>
      </c>
      <c r="Q19" s="189" t="s">
        <v>860</v>
      </c>
      <c r="R19" s="199"/>
      <c r="S19" s="175" t="s">
        <v>877</v>
      </c>
      <c r="T19" s="175"/>
      <c r="U19" s="175"/>
      <c r="V19" s="175" t="s">
        <v>877</v>
      </c>
      <c r="W19" s="238"/>
      <c r="X19" s="180" t="s">
        <v>1334</v>
      </c>
      <c r="Y19" s="178"/>
      <c r="Z19" s="240" t="s">
        <v>1020</v>
      </c>
      <c r="AA19" s="208" t="s">
        <v>900</v>
      </c>
      <c r="AB19" s="208" t="s">
        <v>901</v>
      </c>
      <c r="AC19" s="250" t="s">
        <v>1392</v>
      </c>
    </row>
    <row r="20" spans="1:30" s="2" customFormat="1" ht="38.25" customHeight="1" x14ac:dyDescent="0.2">
      <c r="A20" s="214" t="s">
        <v>637</v>
      </c>
      <c r="B20" s="205" t="s">
        <v>539</v>
      </c>
      <c r="C20" s="167" t="s">
        <v>356</v>
      </c>
      <c r="D20" s="166" t="s">
        <v>639</v>
      </c>
      <c r="E20" s="166" t="s">
        <v>208</v>
      </c>
      <c r="F20" s="168" t="s">
        <v>176</v>
      </c>
      <c r="G20" s="168" t="s">
        <v>446</v>
      </c>
      <c r="H20" s="168">
        <v>68</v>
      </c>
      <c r="I20" s="168">
        <v>1</v>
      </c>
      <c r="J20" s="168">
        <v>47384</v>
      </c>
      <c r="K20" s="194" t="s">
        <v>548</v>
      </c>
      <c r="L20" s="168">
        <v>4</v>
      </c>
      <c r="M20" s="168">
        <v>2</v>
      </c>
      <c r="N20" s="166" t="s">
        <v>213</v>
      </c>
      <c r="O20" s="166" t="s">
        <v>211</v>
      </c>
      <c r="P20" s="168" t="s">
        <v>964</v>
      </c>
      <c r="Q20" s="170" t="s">
        <v>860</v>
      </c>
      <c r="R20" s="169"/>
      <c r="S20" s="175" t="s">
        <v>877</v>
      </c>
      <c r="T20" s="168">
        <v>1</v>
      </c>
      <c r="U20" s="168"/>
      <c r="V20" s="175" t="s">
        <v>877</v>
      </c>
      <c r="W20" s="238"/>
      <c r="X20" s="180" t="s">
        <v>1247</v>
      </c>
      <c r="Y20" s="178"/>
      <c r="Z20" s="238" t="s">
        <v>1204</v>
      </c>
      <c r="AA20" s="208" t="s">
        <v>1205</v>
      </c>
      <c r="AB20" s="211" t="s">
        <v>1206</v>
      </c>
      <c r="AC20" s="250" t="s">
        <v>1392</v>
      </c>
    </row>
    <row r="21" spans="1:30" s="2" customFormat="1" ht="38.25" customHeight="1" x14ac:dyDescent="0.2">
      <c r="A21" s="214" t="s">
        <v>659</v>
      </c>
      <c r="B21" s="173" t="s">
        <v>416</v>
      </c>
      <c r="C21" s="167" t="s">
        <v>341</v>
      </c>
      <c r="D21" s="166">
        <v>140</v>
      </c>
      <c r="E21" s="166" t="s">
        <v>547</v>
      </c>
      <c r="F21" s="168" t="s">
        <v>3</v>
      </c>
      <c r="G21" s="168" t="s">
        <v>270</v>
      </c>
      <c r="H21" s="168">
        <v>96</v>
      </c>
      <c r="I21" s="168">
        <v>1</v>
      </c>
      <c r="J21" s="175">
        <v>48154</v>
      </c>
      <c r="K21" s="194" t="s">
        <v>660</v>
      </c>
      <c r="L21" s="168">
        <v>16</v>
      </c>
      <c r="M21" s="168">
        <v>5</v>
      </c>
      <c r="N21" s="168"/>
      <c r="O21" s="166" t="s">
        <v>211</v>
      </c>
      <c r="P21" s="168" t="s">
        <v>964</v>
      </c>
      <c r="Q21" s="170" t="s">
        <v>860</v>
      </c>
      <c r="R21" s="170" t="s">
        <v>767</v>
      </c>
      <c r="S21" s="175" t="s">
        <v>877</v>
      </c>
      <c r="T21" s="168">
        <v>1</v>
      </c>
      <c r="U21" s="175"/>
      <c r="V21" s="175" t="s">
        <v>877</v>
      </c>
      <c r="W21" s="238"/>
      <c r="X21" s="171" t="s">
        <v>1248</v>
      </c>
      <c r="Y21" s="202"/>
      <c r="Z21" s="238" t="s">
        <v>1134</v>
      </c>
      <c r="AA21" s="208" t="s">
        <v>1135</v>
      </c>
      <c r="AB21" s="208" t="s">
        <v>1138</v>
      </c>
      <c r="AC21" s="250" t="s">
        <v>1392</v>
      </c>
    </row>
    <row r="22" spans="1:30" s="2" customFormat="1" ht="38.25" customHeight="1" x14ac:dyDescent="0.2">
      <c r="A22" s="215" t="s">
        <v>663</v>
      </c>
      <c r="B22" s="182" t="s">
        <v>416</v>
      </c>
      <c r="C22" s="187" t="s">
        <v>341</v>
      </c>
      <c r="D22" s="166" t="s">
        <v>195</v>
      </c>
      <c r="E22" s="166" t="s">
        <v>547</v>
      </c>
      <c r="F22" s="168" t="s">
        <v>3</v>
      </c>
      <c r="G22" s="168" t="s">
        <v>1152</v>
      </c>
      <c r="H22" s="168">
        <v>301</v>
      </c>
      <c r="I22" s="168">
        <v>2</v>
      </c>
      <c r="J22" s="168">
        <v>48151</v>
      </c>
      <c r="K22" s="194" t="s">
        <v>660</v>
      </c>
      <c r="L22" s="168">
        <v>16</v>
      </c>
      <c r="M22" s="168">
        <v>9</v>
      </c>
      <c r="N22" s="168"/>
      <c r="O22" s="166" t="s">
        <v>211</v>
      </c>
      <c r="P22" s="168" t="s">
        <v>964</v>
      </c>
      <c r="Q22" s="170" t="s">
        <v>860</v>
      </c>
      <c r="R22" s="170" t="s">
        <v>767</v>
      </c>
      <c r="S22" s="175" t="s">
        <v>877</v>
      </c>
      <c r="T22" s="175">
        <v>1</v>
      </c>
      <c r="U22" s="175"/>
      <c r="V22" s="175" t="s">
        <v>877</v>
      </c>
      <c r="W22" s="238"/>
      <c r="X22" s="180" t="s">
        <v>1249</v>
      </c>
      <c r="Y22" s="188"/>
      <c r="Z22" s="238" t="s">
        <v>1132</v>
      </c>
      <c r="AA22" s="208" t="s">
        <v>1131</v>
      </c>
      <c r="AB22" s="208" t="s">
        <v>1139</v>
      </c>
      <c r="AC22" s="250" t="s">
        <v>1392</v>
      </c>
    </row>
    <row r="23" spans="1:30" s="2" customFormat="1" ht="38.25" customHeight="1" x14ac:dyDescent="0.2">
      <c r="A23" s="214" t="s">
        <v>666</v>
      </c>
      <c r="B23" s="173" t="s">
        <v>416</v>
      </c>
      <c r="C23" s="167" t="s">
        <v>670</v>
      </c>
      <c r="D23" s="178">
        <v>140</v>
      </c>
      <c r="E23" s="178" t="s">
        <v>547</v>
      </c>
      <c r="F23" s="175" t="s">
        <v>3</v>
      </c>
      <c r="G23" s="175" t="s">
        <v>1164</v>
      </c>
      <c r="H23" s="175">
        <v>98</v>
      </c>
      <c r="I23" s="175">
        <v>1</v>
      </c>
      <c r="J23" s="168">
        <v>48153</v>
      </c>
      <c r="K23" s="194" t="s">
        <v>660</v>
      </c>
      <c r="L23" s="175">
        <v>16</v>
      </c>
      <c r="M23" s="175">
        <v>6</v>
      </c>
      <c r="N23" s="175"/>
      <c r="O23" s="168" t="s">
        <v>211</v>
      </c>
      <c r="P23" s="168" t="s">
        <v>964</v>
      </c>
      <c r="Q23" s="170" t="s">
        <v>860</v>
      </c>
      <c r="R23" s="170" t="s">
        <v>767</v>
      </c>
      <c r="S23" s="175" t="s">
        <v>877</v>
      </c>
      <c r="T23" s="175">
        <v>1</v>
      </c>
      <c r="U23" s="175"/>
      <c r="V23" s="175" t="s">
        <v>877</v>
      </c>
      <c r="W23" s="238"/>
      <c r="X23" s="180" t="s">
        <v>1250</v>
      </c>
      <c r="Y23" s="186"/>
      <c r="Z23" s="238" t="s">
        <v>1133</v>
      </c>
      <c r="AA23" s="208" t="s">
        <v>1117</v>
      </c>
      <c r="AB23" s="208" t="s">
        <v>1118</v>
      </c>
      <c r="AC23" s="250" t="s">
        <v>1392</v>
      </c>
    </row>
    <row r="24" spans="1:30" s="2" customFormat="1" ht="38.25" customHeight="1" x14ac:dyDescent="0.2">
      <c r="A24" s="214" t="s">
        <v>720</v>
      </c>
      <c r="B24" s="173" t="s">
        <v>416</v>
      </c>
      <c r="C24" s="167" t="s">
        <v>723</v>
      </c>
      <c r="D24" s="166" t="s">
        <v>195</v>
      </c>
      <c r="E24" s="166" t="s">
        <v>547</v>
      </c>
      <c r="F24" s="168" t="s">
        <v>3</v>
      </c>
      <c r="G24" s="168" t="s">
        <v>1150</v>
      </c>
      <c r="H24" s="168">
        <v>132</v>
      </c>
      <c r="I24" s="168">
        <v>2</v>
      </c>
      <c r="J24" s="175">
        <v>48149</v>
      </c>
      <c r="K24" s="195" t="s">
        <v>548</v>
      </c>
      <c r="L24" s="168">
        <v>16</v>
      </c>
      <c r="M24" s="168">
        <v>9</v>
      </c>
      <c r="N24" s="166"/>
      <c r="O24" s="166" t="s">
        <v>211</v>
      </c>
      <c r="P24" s="168" t="s">
        <v>964</v>
      </c>
      <c r="Q24" s="170" t="s">
        <v>860</v>
      </c>
      <c r="R24" s="170" t="s">
        <v>767</v>
      </c>
      <c r="S24" s="175" t="s">
        <v>877</v>
      </c>
      <c r="T24" s="168"/>
      <c r="U24" s="168"/>
      <c r="V24" s="175" t="s">
        <v>877</v>
      </c>
      <c r="W24" s="238"/>
      <c r="X24" s="171"/>
      <c r="Y24" s="186" t="s">
        <v>1347</v>
      </c>
      <c r="Z24" s="238" t="s">
        <v>1346</v>
      </c>
      <c r="AA24" s="208" t="s">
        <v>1058</v>
      </c>
      <c r="AB24" s="208" t="s">
        <v>1062</v>
      </c>
      <c r="AC24" s="251" t="s">
        <v>1395</v>
      </c>
      <c r="AD24" s="253"/>
    </row>
    <row r="25" spans="1:30" s="2" customFormat="1" ht="38.25" customHeight="1" x14ac:dyDescent="0.2">
      <c r="A25" s="215" t="s">
        <v>721</v>
      </c>
      <c r="B25" s="182" t="s">
        <v>416</v>
      </c>
      <c r="C25" s="187" t="s">
        <v>723</v>
      </c>
      <c r="D25" s="178">
        <v>140</v>
      </c>
      <c r="E25" s="178" t="s">
        <v>547</v>
      </c>
      <c r="F25" s="175" t="s">
        <v>3</v>
      </c>
      <c r="G25" s="175" t="s">
        <v>270</v>
      </c>
      <c r="H25" s="175">
        <v>143</v>
      </c>
      <c r="I25" s="175">
        <v>1</v>
      </c>
      <c r="J25" s="175">
        <v>47377</v>
      </c>
      <c r="K25" s="195" t="s">
        <v>323</v>
      </c>
      <c r="L25" s="175">
        <v>16</v>
      </c>
      <c r="M25" s="175">
        <v>8</v>
      </c>
      <c r="N25" s="175"/>
      <c r="O25" s="178" t="s">
        <v>211</v>
      </c>
      <c r="P25" s="175" t="s">
        <v>964</v>
      </c>
      <c r="Q25" s="189" t="s">
        <v>860</v>
      </c>
      <c r="R25" s="199"/>
      <c r="S25" s="175" t="s">
        <v>877</v>
      </c>
      <c r="T25" s="175"/>
      <c r="U25" s="175"/>
      <c r="V25" s="175" t="s">
        <v>877</v>
      </c>
      <c r="W25" s="238"/>
      <c r="X25" s="180" t="s">
        <v>1251</v>
      </c>
      <c r="Y25" s="181"/>
      <c r="Z25" s="240" t="s">
        <v>1022</v>
      </c>
      <c r="AA25" s="208" t="s">
        <v>954</v>
      </c>
      <c r="AB25" s="208" t="s">
        <v>955</v>
      </c>
      <c r="AC25" s="250" t="s">
        <v>1392</v>
      </c>
    </row>
    <row r="26" spans="1:30" s="2" customFormat="1" ht="38.25" customHeight="1" x14ac:dyDescent="0.2">
      <c r="A26" s="214" t="s">
        <v>722</v>
      </c>
      <c r="B26" s="173" t="s">
        <v>416</v>
      </c>
      <c r="C26" s="167" t="s">
        <v>723</v>
      </c>
      <c r="D26" s="166">
        <v>220</v>
      </c>
      <c r="E26" s="166" t="s">
        <v>547</v>
      </c>
      <c r="F26" s="168" t="s">
        <v>3</v>
      </c>
      <c r="G26" s="168" t="s">
        <v>415</v>
      </c>
      <c r="H26" s="168">
        <v>144</v>
      </c>
      <c r="I26" s="168">
        <v>1</v>
      </c>
      <c r="J26" s="175">
        <v>47121</v>
      </c>
      <c r="K26" s="194" t="s">
        <v>548</v>
      </c>
      <c r="L26" s="168">
        <v>8</v>
      </c>
      <c r="M26" s="168">
        <v>8</v>
      </c>
      <c r="N26" s="168" t="s">
        <v>213</v>
      </c>
      <c r="O26" s="166" t="s">
        <v>211</v>
      </c>
      <c r="P26" s="168" t="s">
        <v>964</v>
      </c>
      <c r="Q26" s="170" t="s">
        <v>860</v>
      </c>
      <c r="R26" s="169"/>
      <c r="S26" s="168" t="s">
        <v>877</v>
      </c>
      <c r="T26" s="168"/>
      <c r="U26" s="175"/>
      <c r="V26" s="175" t="s">
        <v>877</v>
      </c>
      <c r="W26" s="238"/>
      <c r="X26" s="171" t="s">
        <v>1335</v>
      </c>
      <c r="Y26" s="186"/>
      <c r="Z26" s="238" t="s">
        <v>1377</v>
      </c>
      <c r="AA26" s="208" t="s">
        <v>1137</v>
      </c>
      <c r="AB26" s="208" t="s">
        <v>1169</v>
      </c>
      <c r="AC26" s="251" t="s">
        <v>1395</v>
      </c>
      <c r="AD26" s="253"/>
    </row>
    <row r="27" spans="1:30" s="2" customFormat="1" ht="38.25" customHeight="1" x14ac:dyDescent="0.2">
      <c r="A27" s="215" t="s">
        <v>730</v>
      </c>
      <c r="B27" s="182" t="s">
        <v>416</v>
      </c>
      <c r="C27" s="187" t="s">
        <v>729</v>
      </c>
      <c r="D27" s="178">
        <v>20</v>
      </c>
      <c r="E27" s="178" t="s">
        <v>208</v>
      </c>
      <c r="F27" s="175" t="s">
        <v>3</v>
      </c>
      <c r="G27" s="175" t="s">
        <v>1122</v>
      </c>
      <c r="H27" s="175">
        <v>122</v>
      </c>
      <c r="I27" s="175">
        <v>2</v>
      </c>
      <c r="J27" s="175">
        <v>48477</v>
      </c>
      <c r="K27" s="195" t="s">
        <v>660</v>
      </c>
      <c r="L27" s="175">
        <v>16</v>
      </c>
      <c r="M27" s="175">
        <v>13</v>
      </c>
      <c r="N27" s="175"/>
      <c r="O27" s="168" t="s">
        <v>211</v>
      </c>
      <c r="P27" s="175" t="s">
        <v>964</v>
      </c>
      <c r="Q27" s="189" t="s">
        <v>860</v>
      </c>
      <c r="R27" s="189" t="s">
        <v>767</v>
      </c>
      <c r="S27" s="175" t="s">
        <v>877</v>
      </c>
      <c r="T27" s="175"/>
      <c r="U27" s="175"/>
      <c r="V27" s="175" t="s">
        <v>877</v>
      </c>
      <c r="W27" s="238"/>
      <c r="X27" s="180" t="s">
        <v>1336</v>
      </c>
      <c r="Y27" s="181"/>
      <c r="Z27" s="240" t="s">
        <v>1023</v>
      </c>
      <c r="AA27" s="208" t="s">
        <v>892</v>
      </c>
      <c r="AB27" s="208" t="s">
        <v>893</v>
      </c>
      <c r="AC27" s="250" t="s">
        <v>1392</v>
      </c>
    </row>
    <row r="28" spans="1:30" s="2" customFormat="1" ht="38.25" customHeight="1" x14ac:dyDescent="0.2">
      <c r="A28" s="214" t="s">
        <v>731</v>
      </c>
      <c r="B28" s="173" t="s">
        <v>416</v>
      </c>
      <c r="C28" s="167" t="s">
        <v>732</v>
      </c>
      <c r="D28" s="166">
        <v>30</v>
      </c>
      <c r="E28" s="166" t="s">
        <v>208</v>
      </c>
      <c r="F28" s="168" t="s">
        <v>3</v>
      </c>
      <c r="G28" s="168" t="s">
        <v>1054</v>
      </c>
      <c r="H28" s="168">
        <v>120</v>
      </c>
      <c r="I28" s="168">
        <v>2</v>
      </c>
      <c r="J28" s="175">
        <v>48214</v>
      </c>
      <c r="K28" s="194" t="s">
        <v>660</v>
      </c>
      <c r="L28" s="168">
        <v>16</v>
      </c>
      <c r="M28" s="168">
        <v>4</v>
      </c>
      <c r="N28" s="168"/>
      <c r="O28" s="168" t="s">
        <v>211</v>
      </c>
      <c r="P28" s="168" t="s">
        <v>964</v>
      </c>
      <c r="Q28" s="170" t="s">
        <v>748</v>
      </c>
      <c r="R28" s="170" t="s">
        <v>767</v>
      </c>
      <c r="S28" s="168" t="s">
        <v>877</v>
      </c>
      <c r="T28" s="168"/>
      <c r="U28" s="168"/>
      <c r="V28" s="168" t="s">
        <v>877</v>
      </c>
      <c r="W28" s="238"/>
      <c r="X28" s="180" t="s">
        <v>1337</v>
      </c>
      <c r="Y28" s="181"/>
      <c r="Z28" s="238" t="s">
        <v>1024</v>
      </c>
      <c r="AA28" s="208" t="s">
        <v>906</v>
      </c>
      <c r="AB28" s="208" t="s">
        <v>907</v>
      </c>
      <c r="AC28" s="250" t="s">
        <v>1392</v>
      </c>
    </row>
    <row r="29" spans="1:30" s="2" customFormat="1" ht="38.25" customHeight="1" x14ac:dyDescent="0.2">
      <c r="A29" s="215" t="s">
        <v>735</v>
      </c>
      <c r="B29" s="182" t="s">
        <v>416</v>
      </c>
      <c r="C29" s="187" t="s">
        <v>732</v>
      </c>
      <c r="D29" s="178">
        <v>50</v>
      </c>
      <c r="E29" s="178" t="s">
        <v>208</v>
      </c>
      <c r="F29" s="175" t="s">
        <v>3</v>
      </c>
      <c r="G29" s="175" t="s">
        <v>1154</v>
      </c>
      <c r="H29" s="175">
        <v>32</v>
      </c>
      <c r="I29" s="175">
        <v>2</v>
      </c>
      <c r="J29" s="175">
        <v>48213</v>
      </c>
      <c r="K29" s="195" t="s">
        <v>660</v>
      </c>
      <c r="L29" s="175">
        <v>16</v>
      </c>
      <c r="M29" s="175">
        <v>5</v>
      </c>
      <c r="N29" s="175"/>
      <c r="O29" s="168" t="s">
        <v>211</v>
      </c>
      <c r="P29" s="175" t="s">
        <v>964</v>
      </c>
      <c r="Q29" s="189" t="s">
        <v>860</v>
      </c>
      <c r="R29" s="189" t="s">
        <v>767</v>
      </c>
      <c r="S29" s="175" t="s">
        <v>877</v>
      </c>
      <c r="T29" s="175"/>
      <c r="U29" s="175"/>
      <c r="V29" s="175" t="s">
        <v>877</v>
      </c>
      <c r="W29" s="238"/>
      <c r="X29" s="180" t="s">
        <v>1340</v>
      </c>
      <c r="Y29" s="180"/>
      <c r="Z29" s="240" t="s">
        <v>1027</v>
      </c>
      <c r="AA29" s="208" t="s">
        <v>904</v>
      </c>
      <c r="AB29" s="208" t="s">
        <v>905</v>
      </c>
      <c r="AC29" s="250" t="s">
        <v>1392</v>
      </c>
    </row>
    <row r="30" spans="1:30" s="2" customFormat="1" ht="38.25" customHeight="1" x14ac:dyDescent="0.2">
      <c r="A30" s="214" t="s">
        <v>736</v>
      </c>
      <c r="B30" s="182" t="s">
        <v>416</v>
      </c>
      <c r="C30" s="187" t="s">
        <v>1365</v>
      </c>
      <c r="D30" s="178">
        <v>80</v>
      </c>
      <c r="E30" s="178" t="s">
        <v>208</v>
      </c>
      <c r="F30" s="175" t="s">
        <v>3</v>
      </c>
      <c r="G30" s="175" t="s">
        <v>269</v>
      </c>
      <c r="H30" s="175">
        <v>148</v>
      </c>
      <c r="I30" s="175">
        <v>2</v>
      </c>
      <c r="J30" s="175">
        <v>46315</v>
      </c>
      <c r="K30" s="195" t="s">
        <v>477</v>
      </c>
      <c r="L30" s="175">
        <v>16</v>
      </c>
      <c r="M30" s="175">
        <v>8</v>
      </c>
      <c r="N30" s="175"/>
      <c r="O30" s="168" t="s">
        <v>211</v>
      </c>
      <c r="P30" s="168" t="s">
        <v>953</v>
      </c>
      <c r="Q30" s="170" t="s">
        <v>860</v>
      </c>
      <c r="R30" s="169"/>
      <c r="S30" s="175" t="s">
        <v>877</v>
      </c>
      <c r="T30" s="175"/>
      <c r="U30" s="168"/>
      <c r="V30" s="168" t="s">
        <v>877</v>
      </c>
      <c r="W30" s="238"/>
      <c r="X30" s="180" t="s">
        <v>1341</v>
      </c>
      <c r="Y30" s="171"/>
      <c r="Z30" s="238" t="s">
        <v>1028</v>
      </c>
      <c r="AA30" s="208" t="s">
        <v>1065</v>
      </c>
      <c r="AB30" s="211" t="s">
        <v>1159</v>
      </c>
      <c r="AC30" s="250" t="s">
        <v>1392</v>
      </c>
    </row>
    <row r="31" spans="1:30" s="2" customFormat="1" ht="38.25" customHeight="1" x14ac:dyDescent="0.2">
      <c r="A31" s="214" t="s">
        <v>766</v>
      </c>
      <c r="B31" s="173" t="s">
        <v>416</v>
      </c>
      <c r="C31" s="167" t="s">
        <v>1435</v>
      </c>
      <c r="D31" s="166" t="s">
        <v>360</v>
      </c>
      <c r="E31" s="166" t="s">
        <v>208</v>
      </c>
      <c r="F31" s="168" t="s">
        <v>3</v>
      </c>
      <c r="G31" s="168" t="s">
        <v>1221</v>
      </c>
      <c r="H31" s="168">
        <v>150</v>
      </c>
      <c r="I31" s="168">
        <v>2</v>
      </c>
      <c r="J31" s="191">
        <v>41898</v>
      </c>
      <c r="K31" s="194" t="s">
        <v>660</v>
      </c>
      <c r="L31" s="168">
        <v>16</v>
      </c>
      <c r="M31" s="168">
        <v>7</v>
      </c>
      <c r="N31" s="168"/>
      <c r="O31" s="168" t="s">
        <v>211</v>
      </c>
      <c r="P31" s="168" t="s">
        <v>964</v>
      </c>
      <c r="Q31" s="170" t="s">
        <v>860</v>
      </c>
      <c r="R31" s="170" t="s">
        <v>767</v>
      </c>
      <c r="S31" s="168" t="s">
        <v>877</v>
      </c>
      <c r="T31" s="168"/>
      <c r="U31" s="175"/>
      <c r="V31" s="168" t="s">
        <v>877</v>
      </c>
      <c r="W31" s="238"/>
      <c r="X31" s="180" t="s">
        <v>1254</v>
      </c>
      <c r="Y31" s="181"/>
      <c r="Z31" s="238" t="s">
        <v>990</v>
      </c>
      <c r="AA31" s="208" t="s">
        <v>927</v>
      </c>
      <c r="AB31" s="208" t="s">
        <v>928</v>
      </c>
      <c r="AC31" s="251" t="s">
        <v>1401</v>
      </c>
    </row>
    <row r="32" spans="1:30" s="2" customFormat="1" ht="38.25" customHeight="1" x14ac:dyDescent="0.2">
      <c r="A32" s="215" t="s">
        <v>782</v>
      </c>
      <c r="B32" s="200" t="s">
        <v>76</v>
      </c>
      <c r="C32" s="187" t="s">
        <v>783</v>
      </c>
      <c r="D32" s="178" t="s">
        <v>221</v>
      </c>
      <c r="E32" s="178" t="s">
        <v>208</v>
      </c>
      <c r="F32" s="175" t="s">
        <v>53</v>
      </c>
      <c r="G32" s="175" t="s">
        <v>1160</v>
      </c>
      <c r="H32" s="175">
        <v>315</v>
      </c>
      <c r="I32" s="175">
        <v>5</v>
      </c>
      <c r="J32" s="175">
        <v>31917</v>
      </c>
      <c r="K32" s="196" t="s">
        <v>210</v>
      </c>
      <c r="L32" s="175">
        <v>32</v>
      </c>
      <c r="M32" s="175">
        <v>22</v>
      </c>
      <c r="N32" s="175"/>
      <c r="O32" s="178" t="s">
        <v>211</v>
      </c>
      <c r="P32" s="175" t="s">
        <v>224</v>
      </c>
      <c r="Q32" s="189" t="s">
        <v>882</v>
      </c>
      <c r="R32" s="199"/>
      <c r="S32" s="175" t="s">
        <v>877</v>
      </c>
      <c r="T32" s="175"/>
      <c r="U32" s="175"/>
      <c r="V32" s="168" t="s">
        <v>877</v>
      </c>
      <c r="W32" s="171"/>
      <c r="X32" s="180"/>
      <c r="Y32" s="181"/>
      <c r="Z32" s="238" t="s">
        <v>1093</v>
      </c>
      <c r="AA32" s="208" t="s">
        <v>1094</v>
      </c>
      <c r="AB32" s="211" t="s">
        <v>1100</v>
      </c>
      <c r="AC32" s="250" t="s">
        <v>1392</v>
      </c>
    </row>
    <row r="33" spans="1:30" s="2" customFormat="1" ht="38.25" customHeight="1" x14ac:dyDescent="0.2">
      <c r="A33" s="214" t="s">
        <v>840</v>
      </c>
      <c r="B33" s="183" t="s">
        <v>76</v>
      </c>
      <c r="C33" s="167" t="s">
        <v>841</v>
      </c>
      <c r="D33" s="166">
        <v>10</v>
      </c>
      <c r="E33" s="166" t="s">
        <v>208</v>
      </c>
      <c r="F33" s="168" t="s">
        <v>53</v>
      </c>
      <c r="G33" s="168" t="s">
        <v>446</v>
      </c>
      <c r="H33" s="168">
        <v>80</v>
      </c>
      <c r="I33" s="168">
        <v>5</v>
      </c>
      <c r="J33" s="175">
        <v>33978</v>
      </c>
      <c r="K33" s="18" t="s">
        <v>210</v>
      </c>
      <c r="L33" s="168">
        <v>16</v>
      </c>
      <c r="M33" s="168">
        <v>10</v>
      </c>
      <c r="N33" s="168"/>
      <c r="O33" s="166" t="s">
        <v>211</v>
      </c>
      <c r="P33" s="168" t="s">
        <v>224</v>
      </c>
      <c r="Q33" s="170" t="s">
        <v>882</v>
      </c>
      <c r="R33" s="169"/>
      <c r="S33" s="168" t="s">
        <v>877</v>
      </c>
      <c r="T33" s="168"/>
      <c r="U33" s="168"/>
      <c r="V33" s="168" t="s">
        <v>877</v>
      </c>
      <c r="W33" s="171"/>
      <c r="X33" s="171"/>
      <c r="Y33" s="171"/>
      <c r="Z33" s="238" t="s">
        <v>1066</v>
      </c>
      <c r="AA33" s="208" t="s">
        <v>1067</v>
      </c>
      <c r="AB33" s="208" t="s">
        <v>1068</v>
      </c>
      <c r="AC33" s="250" t="s">
        <v>1392</v>
      </c>
    </row>
    <row r="34" spans="1:30" s="2" customFormat="1" ht="38.25" customHeight="1" x14ac:dyDescent="0.2">
      <c r="A34" s="214" t="s">
        <v>843</v>
      </c>
      <c r="B34" s="183" t="s">
        <v>76</v>
      </c>
      <c r="C34" s="167" t="s">
        <v>841</v>
      </c>
      <c r="D34" s="166">
        <v>30</v>
      </c>
      <c r="E34" s="166" t="s">
        <v>208</v>
      </c>
      <c r="F34" s="168" t="s">
        <v>53</v>
      </c>
      <c r="G34" s="168" t="s">
        <v>446</v>
      </c>
      <c r="H34" s="168">
        <v>171</v>
      </c>
      <c r="I34" s="168">
        <v>5</v>
      </c>
      <c r="J34" s="175">
        <v>29671</v>
      </c>
      <c r="K34" s="196" t="s">
        <v>289</v>
      </c>
      <c r="L34" s="168">
        <v>16</v>
      </c>
      <c r="M34" s="168">
        <v>12</v>
      </c>
      <c r="N34" s="168"/>
      <c r="O34" s="166" t="s">
        <v>211</v>
      </c>
      <c r="P34" s="168" t="s">
        <v>224</v>
      </c>
      <c r="Q34" s="170" t="s">
        <v>882</v>
      </c>
      <c r="R34" s="167"/>
      <c r="S34" s="168" t="s">
        <v>877</v>
      </c>
      <c r="T34" s="168"/>
      <c r="U34" s="175"/>
      <c r="V34" s="168" t="s">
        <v>877</v>
      </c>
      <c r="W34" s="171"/>
      <c r="X34" s="180"/>
      <c r="Y34" s="259" t="s">
        <v>1431</v>
      </c>
      <c r="Z34" s="210" t="s">
        <v>1429</v>
      </c>
      <c r="AA34" s="208" t="s">
        <v>1069</v>
      </c>
      <c r="AB34" s="208" t="s">
        <v>1070</v>
      </c>
      <c r="AC34" s="250" t="s">
        <v>1392</v>
      </c>
    </row>
    <row r="35" spans="1:30" s="2" customFormat="1" ht="38.25" customHeight="1" x14ac:dyDescent="0.2">
      <c r="A35" s="214" t="s">
        <v>845</v>
      </c>
      <c r="B35" s="173" t="s">
        <v>416</v>
      </c>
      <c r="C35" s="167" t="s">
        <v>841</v>
      </c>
      <c r="D35" s="166">
        <v>100</v>
      </c>
      <c r="E35" s="166" t="s">
        <v>208</v>
      </c>
      <c r="F35" s="168" t="s">
        <v>53</v>
      </c>
      <c r="G35" s="168" t="s">
        <v>1158</v>
      </c>
      <c r="H35" s="168">
        <v>321</v>
      </c>
      <c r="I35" s="168">
        <v>5</v>
      </c>
      <c r="J35" s="175">
        <v>41901</v>
      </c>
      <c r="K35" s="194" t="s">
        <v>515</v>
      </c>
      <c r="L35" s="168">
        <v>16</v>
      </c>
      <c r="M35" s="168">
        <v>7</v>
      </c>
      <c r="N35" s="168"/>
      <c r="O35" s="166" t="s">
        <v>211</v>
      </c>
      <c r="P35" s="168" t="s">
        <v>953</v>
      </c>
      <c r="Q35" s="170" t="s">
        <v>882</v>
      </c>
      <c r="R35" s="170" t="s">
        <v>878</v>
      </c>
      <c r="S35" s="168" t="s">
        <v>877</v>
      </c>
      <c r="T35" s="168"/>
      <c r="U35" s="168"/>
      <c r="V35" s="168" t="s">
        <v>877</v>
      </c>
      <c r="W35" s="238"/>
      <c r="X35" s="171" t="s">
        <v>1255</v>
      </c>
      <c r="Y35" s="171"/>
      <c r="Z35" s="238" t="s">
        <v>1031</v>
      </c>
      <c r="AA35" s="208" t="s">
        <v>1071</v>
      </c>
      <c r="AB35" s="208" t="s">
        <v>1159</v>
      </c>
      <c r="AC35" s="250" t="s">
        <v>1392</v>
      </c>
    </row>
    <row r="36" spans="1:30" s="2" customFormat="1" ht="38.25" customHeight="1" x14ac:dyDescent="0.2">
      <c r="A36" s="215" t="s">
        <v>847</v>
      </c>
      <c r="B36" s="205" t="s">
        <v>539</v>
      </c>
      <c r="C36" s="187" t="s">
        <v>346</v>
      </c>
      <c r="D36" s="178">
        <v>65</v>
      </c>
      <c r="E36" s="178" t="s">
        <v>208</v>
      </c>
      <c r="F36" s="191" t="s">
        <v>3</v>
      </c>
      <c r="G36" s="191" t="s">
        <v>631</v>
      </c>
      <c r="H36" s="175">
        <v>349</v>
      </c>
      <c r="I36" s="175">
        <v>1</v>
      </c>
      <c r="J36" s="175">
        <v>47439</v>
      </c>
      <c r="K36" s="195" t="s">
        <v>210</v>
      </c>
      <c r="L36" s="175">
        <v>4</v>
      </c>
      <c r="M36" s="175">
        <v>3</v>
      </c>
      <c r="N36" s="175"/>
      <c r="O36" s="178" t="s">
        <v>211</v>
      </c>
      <c r="P36" s="175" t="s">
        <v>964</v>
      </c>
      <c r="Q36" s="189" t="s">
        <v>860</v>
      </c>
      <c r="R36" s="187"/>
      <c r="S36" s="175" t="s">
        <v>877</v>
      </c>
      <c r="T36" s="175"/>
      <c r="U36" s="175"/>
      <c r="V36" s="175" t="s">
        <v>877</v>
      </c>
      <c r="W36" s="238"/>
      <c r="X36" s="180"/>
      <c r="Y36" s="202"/>
      <c r="Z36" s="240" t="s">
        <v>1411</v>
      </c>
      <c r="AA36" s="208"/>
      <c r="AB36" s="208"/>
      <c r="AC36" s="249"/>
      <c r="AD36" s="253" t="s">
        <v>1220</v>
      </c>
    </row>
    <row r="37" spans="1:30" s="2" customFormat="1" ht="38.25" customHeight="1" x14ac:dyDescent="0.2">
      <c r="A37" s="215" t="s">
        <v>857</v>
      </c>
      <c r="B37" s="178" t="s">
        <v>76</v>
      </c>
      <c r="C37" s="187" t="s">
        <v>364</v>
      </c>
      <c r="D37" s="178" t="s">
        <v>295</v>
      </c>
      <c r="E37" s="178" t="s">
        <v>208</v>
      </c>
      <c r="F37" s="175" t="s">
        <v>53</v>
      </c>
      <c r="G37" s="175" t="s">
        <v>595</v>
      </c>
      <c r="H37" s="175">
        <v>81</v>
      </c>
      <c r="I37" s="175">
        <v>5</v>
      </c>
      <c r="J37" s="175">
        <v>36106</v>
      </c>
      <c r="K37" s="195" t="s">
        <v>210</v>
      </c>
      <c r="L37" s="175">
        <v>16</v>
      </c>
      <c r="M37" s="175">
        <v>9</v>
      </c>
      <c r="N37" s="175"/>
      <c r="O37" s="175" t="s">
        <v>211</v>
      </c>
      <c r="P37" s="175" t="s">
        <v>224</v>
      </c>
      <c r="Q37" s="189" t="s">
        <v>860</v>
      </c>
      <c r="R37" s="189" t="s">
        <v>767</v>
      </c>
      <c r="S37" s="175" t="s">
        <v>877</v>
      </c>
      <c r="T37" s="175"/>
      <c r="U37" s="175"/>
      <c r="V37" s="175" t="s">
        <v>877</v>
      </c>
      <c r="W37" s="171"/>
      <c r="X37" s="180"/>
      <c r="Y37" s="171"/>
      <c r="Z37" s="240" t="s">
        <v>1049</v>
      </c>
      <c r="AA37" s="208" t="s">
        <v>1050</v>
      </c>
      <c r="AB37" s="208" t="s">
        <v>1051</v>
      </c>
      <c r="AC37" s="251" t="s">
        <v>1403</v>
      </c>
    </row>
    <row r="38" spans="1:30" s="2" customFormat="1" ht="38.25" customHeight="1" x14ac:dyDescent="0.2">
      <c r="A38" s="214" t="s">
        <v>865</v>
      </c>
      <c r="B38" s="205" t="s">
        <v>539</v>
      </c>
      <c r="C38" s="167" t="s">
        <v>866</v>
      </c>
      <c r="D38" s="166">
        <v>10</v>
      </c>
      <c r="E38" s="166" t="s">
        <v>208</v>
      </c>
      <c r="F38" s="168" t="s">
        <v>3</v>
      </c>
      <c r="G38" s="168" t="s">
        <v>867</v>
      </c>
      <c r="H38" s="168">
        <v>270</v>
      </c>
      <c r="I38" s="168">
        <v>1</v>
      </c>
      <c r="J38" s="175">
        <v>47437</v>
      </c>
      <c r="K38" s="194" t="s">
        <v>548</v>
      </c>
      <c r="L38" s="168">
        <v>4</v>
      </c>
      <c r="M38" s="168">
        <v>3</v>
      </c>
      <c r="N38" s="168" t="s">
        <v>213</v>
      </c>
      <c r="O38" s="166" t="s">
        <v>211</v>
      </c>
      <c r="P38" s="168" t="s">
        <v>964</v>
      </c>
      <c r="Q38" s="170" t="s">
        <v>860</v>
      </c>
      <c r="R38" s="167"/>
      <c r="S38" s="175" t="s">
        <v>877</v>
      </c>
      <c r="T38" s="168"/>
      <c r="U38" s="175"/>
      <c r="V38" s="175" t="s">
        <v>877</v>
      </c>
      <c r="W38" s="238"/>
      <c r="X38" s="171" t="s">
        <v>1256</v>
      </c>
      <c r="Y38" s="227"/>
      <c r="Z38" s="238" t="s">
        <v>1207</v>
      </c>
      <c r="AA38" s="208" t="s">
        <v>1208</v>
      </c>
      <c r="AB38" s="208" t="s">
        <v>1209</v>
      </c>
      <c r="AC38" s="250" t="s">
        <v>1392</v>
      </c>
    </row>
    <row r="39" spans="1:30" s="2" customFormat="1" ht="38.25" customHeight="1" x14ac:dyDescent="0.2">
      <c r="A39" s="214" t="s">
        <v>870</v>
      </c>
      <c r="B39" s="173" t="s">
        <v>416</v>
      </c>
      <c r="C39" s="167" t="s">
        <v>871</v>
      </c>
      <c r="D39" s="166">
        <v>140</v>
      </c>
      <c r="E39" s="166" t="s">
        <v>208</v>
      </c>
      <c r="F39" s="177" t="s">
        <v>3</v>
      </c>
      <c r="G39" s="177" t="s">
        <v>250</v>
      </c>
      <c r="H39" s="168">
        <v>329</v>
      </c>
      <c r="I39" s="168">
        <v>1</v>
      </c>
      <c r="J39" s="175">
        <v>48821</v>
      </c>
      <c r="K39" s="195" t="s">
        <v>872</v>
      </c>
      <c r="L39" s="168">
        <v>24</v>
      </c>
      <c r="M39" s="168">
        <v>5</v>
      </c>
      <c r="N39" s="168"/>
      <c r="O39" s="166" t="s">
        <v>211</v>
      </c>
      <c r="P39" s="168" t="s">
        <v>964</v>
      </c>
      <c r="Q39" s="170" t="s">
        <v>860</v>
      </c>
      <c r="R39" s="189" t="s">
        <v>767</v>
      </c>
      <c r="S39" s="168" t="s">
        <v>877</v>
      </c>
      <c r="T39" s="168"/>
      <c r="U39" s="168"/>
      <c r="V39" s="168" t="s">
        <v>877</v>
      </c>
      <c r="W39" s="238"/>
      <c r="X39" s="180" t="s">
        <v>1257</v>
      </c>
      <c r="Y39" s="186"/>
      <c r="Z39" s="238" t="s">
        <v>1032</v>
      </c>
      <c r="AA39" s="208" t="s">
        <v>962</v>
      </c>
      <c r="AB39" s="208" t="s">
        <v>963</v>
      </c>
      <c r="AC39" s="250" t="s">
        <v>1392</v>
      </c>
    </row>
    <row r="40" spans="1:30" s="2" customFormat="1" ht="39" customHeight="1" x14ac:dyDescent="0.2">
      <c r="A40" s="215" t="s">
        <v>1127</v>
      </c>
      <c r="B40" s="182" t="s">
        <v>416</v>
      </c>
      <c r="C40" s="187" t="s">
        <v>1153</v>
      </c>
      <c r="D40" s="178">
        <v>50</v>
      </c>
      <c r="E40" s="166" t="s">
        <v>208</v>
      </c>
      <c r="F40" s="191" t="s">
        <v>3</v>
      </c>
      <c r="G40" s="191" t="s">
        <v>1154</v>
      </c>
      <c r="H40" s="175">
        <v>74</v>
      </c>
      <c r="I40" s="175">
        <v>2</v>
      </c>
      <c r="J40" s="175">
        <v>47123</v>
      </c>
      <c r="K40" s="195" t="s">
        <v>515</v>
      </c>
      <c r="L40" s="175">
        <v>16</v>
      </c>
      <c r="M40" s="175">
        <v>5</v>
      </c>
      <c r="N40" s="168" t="s">
        <v>213</v>
      </c>
      <c r="O40" s="178" t="s">
        <v>211</v>
      </c>
      <c r="P40" s="175" t="s">
        <v>953</v>
      </c>
      <c r="Q40" s="189" t="s">
        <v>860</v>
      </c>
      <c r="R40" s="189" t="s">
        <v>474</v>
      </c>
      <c r="S40" s="175" t="s">
        <v>877</v>
      </c>
      <c r="T40" s="175"/>
      <c r="U40" s="175"/>
      <c r="V40" s="175" t="s">
        <v>877</v>
      </c>
      <c r="W40" s="238"/>
      <c r="X40" s="180"/>
      <c r="Y40" s="171"/>
      <c r="Z40" s="240" t="s">
        <v>1351</v>
      </c>
      <c r="AA40" s="208" t="s">
        <v>1124</v>
      </c>
      <c r="AB40" s="208" t="s">
        <v>1125</v>
      </c>
      <c r="AC40" s="250" t="s">
        <v>1392</v>
      </c>
    </row>
    <row r="41" spans="1:30" s="2" customFormat="1" ht="39" customHeight="1" x14ac:dyDescent="0.2">
      <c r="A41" s="214" t="s">
        <v>2</v>
      </c>
      <c r="B41" s="205" t="s">
        <v>539</v>
      </c>
      <c r="C41" s="167" t="s">
        <v>1437</v>
      </c>
      <c r="D41" s="166">
        <v>10</v>
      </c>
      <c r="E41" s="166" t="s">
        <v>208</v>
      </c>
      <c r="F41" s="177" t="s">
        <v>3</v>
      </c>
      <c r="G41" s="177" t="s">
        <v>1438</v>
      </c>
      <c r="H41" s="168">
        <v>205</v>
      </c>
      <c r="I41" s="168">
        <v>1</v>
      </c>
      <c r="J41" s="175">
        <v>47047</v>
      </c>
      <c r="K41" s="194" t="s">
        <v>548</v>
      </c>
      <c r="L41" s="168">
        <v>4</v>
      </c>
      <c r="M41" s="168">
        <v>3</v>
      </c>
      <c r="N41" s="168" t="s">
        <v>213</v>
      </c>
      <c r="O41" s="178" t="s">
        <v>211</v>
      </c>
      <c r="P41" s="175" t="s">
        <v>953</v>
      </c>
      <c r="Q41" s="170"/>
      <c r="R41" s="170"/>
      <c r="S41" s="175" t="s">
        <v>877</v>
      </c>
      <c r="T41" s="168"/>
      <c r="U41" s="175"/>
      <c r="V41" s="175" t="s">
        <v>877</v>
      </c>
      <c r="W41" s="171"/>
      <c r="X41" s="171"/>
      <c r="Y41" s="171"/>
      <c r="Z41" s="238"/>
      <c r="AA41" s="208"/>
      <c r="AB41" s="208"/>
      <c r="AC41" s="250"/>
    </row>
    <row r="42" spans="1:30" s="2" customFormat="1" ht="37.5" customHeight="1" x14ac:dyDescent="0.2">
      <c r="A42" s="214" t="s">
        <v>4</v>
      </c>
      <c r="B42" s="183" t="s">
        <v>76</v>
      </c>
      <c r="C42" s="167" t="s">
        <v>1179</v>
      </c>
      <c r="D42" s="166">
        <v>150</v>
      </c>
      <c r="E42" s="166" t="s">
        <v>208</v>
      </c>
      <c r="F42" s="177" t="s">
        <v>3</v>
      </c>
      <c r="G42" s="177" t="s">
        <v>252</v>
      </c>
      <c r="H42" s="168">
        <v>266</v>
      </c>
      <c r="I42" s="168">
        <v>1</v>
      </c>
      <c r="J42" s="175">
        <v>28575</v>
      </c>
      <c r="K42" s="194" t="s">
        <v>201</v>
      </c>
      <c r="L42" s="168">
        <v>32</v>
      </c>
      <c r="M42" s="168"/>
      <c r="N42" s="166"/>
      <c r="O42" s="178" t="s">
        <v>211</v>
      </c>
      <c r="P42" s="168" t="s">
        <v>224</v>
      </c>
      <c r="Q42" s="170" t="s">
        <v>860</v>
      </c>
      <c r="R42" s="169" t="s">
        <v>465</v>
      </c>
      <c r="S42" s="175" t="s">
        <v>877</v>
      </c>
      <c r="T42" s="168">
        <v>2</v>
      </c>
      <c r="U42" s="175"/>
      <c r="V42" s="175" t="s">
        <v>877</v>
      </c>
      <c r="W42" s="171"/>
      <c r="X42" s="171" t="s">
        <v>1259</v>
      </c>
      <c r="Y42" s="180"/>
      <c r="Z42" s="238" t="s">
        <v>1345</v>
      </c>
      <c r="AA42" s="208"/>
      <c r="AB42" s="208"/>
      <c r="AC42" s="250" t="s">
        <v>1392</v>
      </c>
    </row>
    <row r="43" spans="1:30" s="2" customFormat="1" ht="38.25" customHeight="1" x14ac:dyDescent="0.2">
      <c r="A43" s="214" t="s">
        <v>6</v>
      </c>
      <c r="B43" s="182" t="s">
        <v>416</v>
      </c>
      <c r="C43" s="167" t="s">
        <v>335</v>
      </c>
      <c r="D43" s="166" t="s">
        <v>195</v>
      </c>
      <c r="E43" s="166" t="s">
        <v>208</v>
      </c>
      <c r="F43" s="177" t="s">
        <v>3</v>
      </c>
      <c r="G43" s="177" t="s">
        <v>254</v>
      </c>
      <c r="H43" s="168">
        <v>310</v>
      </c>
      <c r="I43" s="168">
        <v>2</v>
      </c>
      <c r="J43" s="175">
        <v>48150</v>
      </c>
      <c r="K43" s="195" t="s">
        <v>210</v>
      </c>
      <c r="L43" s="168">
        <v>16</v>
      </c>
      <c r="M43" s="168">
        <v>11</v>
      </c>
      <c r="N43" s="168" t="s">
        <v>213</v>
      </c>
      <c r="O43" s="166" t="s">
        <v>211</v>
      </c>
      <c r="P43" s="175" t="s">
        <v>953</v>
      </c>
      <c r="Q43" s="170" t="s">
        <v>860</v>
      </c>
      <c r="R43" s="167" t="s">
        <v>435</v>
      </c>
      <c r="S43" s="168" t="s">
        <v>877</v>
      </c>
      <c r="T43" s="168">
        <v>19</v>
      </c>
      <c r="U43" s="168"/>
      <c r="V43" s="175" t="s">
        <v>877</v>
      </c>
      <c r="W43" s="238"/>
      <c r="X43" s="180"/>
      <c r="Y43" s="181"/>
      <c r="Z43" s="238" t="s">
        <v>1203</v>
      </c>
      <c r="AA43" s="208" t="s">
        <v>937</v>
      </c>
      <c r="AB43" s="208" t="s">
        <v>938</v>
      </c>
      <c r="AC43" s="249"/>
    </row>
    <row r="44" spans="1:30" s="26" customFormat="1" ht="37.5" customHeight="1" x14ac:dyDescent="0.2">
      <c r="A44" s="214" t="s">
        <v>7</v>
      </c>
      <c r="B44" s="166" t="s">
        <v>76</v>
      </c>
      <c r="C44" s="167" t="s">
        <v>299</v>
      </c>
      <c r="D44" s="166" t="s">
        <v>195</v>
      </c>
      <c r="E44" s="166" t="s">
        <v>208</v>
      </c>
      <c r="F44" s="177" t="s">
        <v>3</v>
      </c>
      <c r="G44" s="177" t="s">
        <v>1152</v>
      </c>
      <c r="H44" s="168">
        <v>303</v>
      </c>
      <c r="I44" s="168">
        <v>2</v>
      </c>
      <c r="J44" s="175">
        <v>28580</v>
      </c>
      <c r="K44" s="195" t="s">
        <v>201</v>
      </c>
      <c r="L44" s="168">
        <v>16</v>
      </c>
      <c r="M44" s="168">
        <v>8</v>
      </c>
      <c r="N44" s="168"/>
      <c r="O44" s="166" t="s">
        <v>211</v>
      </c>
      <c r="P44" s="168" t="s">
        <v>224</v>
      </c>
      <c r="Q44" s="170" t="s">
        <v>860</v>
      </c>
      <c r="R44" s="167" t="s">
        <v>465</v>
      </c>
      <c r="S44" s="168" t="s">
        <v>877</v>
      </c>
      <c r="T44" s="168">
        <v>1</v>
      </c>
      <c r="U44" s="175"/>
      <c r="V44" s="175" t="s">
        <v>877</v>
      </c>
      <c r="W44" s="171"/>
      <c r="X44" s="180" t="s">
        <v>1260</v>
      </c>
      <c r="Y44" s="186"/>
      <c r="Z44" s="238" t="s">
        <v>991</v>
      </c>
      <c r="AA44" s="208" t="s">
        <v>919</v>
      </c>
      <c r="AB44" s="208" t="s">
        <v>920</v>
      </c>
      <c r="AC44" s="249"/>
    </row>
    <row r="45" spans="1:30" s="2" customFormat="1" ht="38.25" customHeight="1" x14ac:dyDescent="0.2">
      <c r="A45" s="215" t="s">
        <v>9</v>
      </c>
      <c r="B45" s="182" t="s">
        <v>416</v>
      </c>
      <c r="C45" s="187" t="s">
        <v>336</v>
      </c>
      <c r="D45" s="178" t="s">
        <v>195</v>
      </c>
      <c r="E45" s="178" t="s">
        <v>208</v>
      </c>
      <c r="F45" s="191" t="s">
        <v>3</v>
      </c>
      <c r="G45" s="191" t="s">
        <v>1150</v>
      </c>
      <c r="H45" s="175">
        <v>259</v>
      </c>
      <c r="I45" s="175">
        <v>2</v>
      </c>
      <c r="J45" s="191">
        <v>47126</v>
      </c>
      <c r="K45" s="195" t="s">
        <v>515</v>
      </c>
      <c r="L45" s="175">
        <v>16</v>
      </c>
      <c r="M45" s="175">
        <v>6</v>
      </c>
      <c r="N45" s="175"/>
      <c r="O45" s="178" t="s">
        <v>211</v>
      </c>
      <c r="P45" s="175" t="s">
        <v>953</v>
      </c>
      <c r="Q45" s="189" t="s">
        <v>860</v>
      </c>
      <c r="R45" s="199" t="s">
        <v>470</v>
      </c>
      <c r="S45" s="175" t="s">
        <v>877</v>
      </c>
      <c r="T45" s="175">
        <v>1</v>
      </c>
      <c r="U45" s="175"/>
      <c r="V45" s="175" t="s">
        <v>877</v>
      </c>
      <c r="W45" s="238"/>
      <c r="X45" s="180"/>
      <c r="Y45" s="171" t="s">
        <v>1243</v>
      </c>
      <c r="Z45" s="240" t="s">
        <v>1343</v>
      </c>
      <c r="AA45" s="208"/>
      <c r="AB45" s="208"/>
      <c r="AC45" s="251" t="s">
        <v>1393</v>
      </c>
    </row>
    <row r="46" spans="1:30" s="2" customFormat="1" ht="38.25" customHeight="1" x14ac:dyDescent="0.2">
      <c r="A46" s="214" t="s">
        <v>10</v>
      </c>
      <c r="B46" s="166" t="s">
        <v>76</v>
      </c>
      <c r="C46" s="167" t="s">
        <v>337</v>
      </c>
      <c r="D46" s="166" t="s">
        <v>195</v>
      </c>
      <c r="E46" s="166" t="s">
        <v>208</v>
      </c>
      <c r="F46" s="177" t="s">
        <v>3</v>
      </c>
      <c r="G46" s="177" t="s">
        <v>1167</v>
      </c>
      <c r="H46" s="168">
        <v>307</v>
      </c>
      <c r="I46" s="168">
        <v>2</v>
      </c>
      <c r="J46" s="175">
        <v>27616</v>
      </c>
      <c r="K46" s="194" t="s">
        <v>201</v>
      </c>
      <c r="L46" s="168">
        <v>24</v>
      </c>
      <c r="M46" s="168">
        <v>21</v>
      </c>
      <c r="N46" s="168"/>
      <c r="O46" s="166" t="s">
        <v>211</v>
      </c>
      <c r="P46" s="168" t="s">
        <v>224</v>
      </c>
      <c r="Q46" s="170" t="s">
        <v>860</v>
      </c>
      <c r="R46" s="170" t="s">
        <v>767</v>
      </c>
      <c r="S46" s="168" t="s">
        <v>877</v>
      </c>
      <c r="T46" s="168">
        <v>5</v>
      </c>
      <c r="U46" s="168"/>
      <c r="V46" s="175" t="s">
        <v>877</v>
      </c>
      <c r="W46" s="171"/>
      <c r="X46" s="171" t="s">
        <v>1261</v>
      </c>
      <c r="Y46" s="171"/>
      <c r="Z46" s="238" t="s">
        <v>980</v>
      </c>
      <c r="AA46" s="208" t="s">
        <v>923</v>
      </c>
      <c r="AB46" s="208" t="s">
        <v>924</v>
      </c>
      <c r="AC46" s="250" t="s">
        <v>1392</v>
      </c>
    </row>
    <row r="47" spans="1:30" s="2" customFormat="1" ht="38.25" customHeight="1" x14ac:dyDescent="0.2">
      <c r="A47" s="215" t="s">
        <v>11</v>
      </c>
      <c r="B47" s="182" t="s">
        <v>416</v>
      </c>
      <c r="C47" s="187" t="s">
        <v>338</v>
      </c>
      <c r="D47" s="178" t="s">
        <v>195</v>
      </c>
      <c r="E47" s="178" t="s">
        <v>208</v>
      </c>
      <c r="F47" s="191" t="s">
        <v>3</v>
      </c>
      <c r="G47" s="191" t="s">
        <v>1150</v>
      </c>
      <c r="H47" s="175">
        <v>278</v>
      </c>
      <c r="I47" s="175">
        <v>2</v>
      </c>
      <c r="J47" s="175">
        <v>48822</v>
      </c>
      <c r="K47" s="195" t="s">
        <v>872</v>
      </c>
      <c r="L47" s="175">
        <v>16</v>
      </c>
      <c r="M47" s="175">
        <v>15</v>
      </c>
      <c r="N47" s="175"/>
      <c r="O47" s="178" t="s">
        <v>211</v>
      </c>
      <c r="P47" s="175" t="s">
        <v>953</v>
      </c>
      <c r="Q47" s="189" t="s">
        <v>860</v>
      </c>
      <c r="R47" s="199" t="s">
        <v>464</v>
      </c>
      <c r="S47" s="175" t="s">
        <v>877</v>
      </c>
      <c r="T47" s="175">
        <v>5</v>
      </c>
      <c r="U47" s="175"/>
      <c r="V47" s="175" t="s">
        <v>877</v>
      </c>
      <c r="W47" s="238"/>
      <c r="X47" s="180" t="s">
        <v>1262</v>
      </c>
      <c r="Y47" s="181"/>
      <c r="Z47" s="240" t="s">
        <v>984</v>
      </c>
      <c r="AA47" s="208" t="s">
        <v>890</v>
      </c>
      <c r="AB47" s="208" t="s">
        <v>891</v>
      </c>
      <c r="AC47" s="250" t="s">
        <v>1392</v>
      </c>
    </row>
    <row r="48" spans="1:30" s="2" customFormat="1" ht="38.25" customHeight="1" x14ac:dyDescent="0.2">
      <c r="A48" s="215" t="s">
        <v>12</v>
      </c>
      <c r="B48" s="182" t="s">
        <v>416</v>
      </c>
      <c r="C48" s="187" t="s">
        <v>339</v>
      </c>
      <c r="D48" s="178" t="s">
        <v>195</v>
      </c>
      <c r="E48" s="178" t="s">
        <v>208</v>
      </c>
      <c r="F48" s="191" t="s">
        <v>3</v>
      </c>
      <c r="G48" s="191" t="s">
        <v>448</v>
      </c>
      <c r="H48" s="175">
        <v>304</v>
      </c>
      <c r="I48" s="175">
        <v>2</v>
      </c>
      <c r="J48" s="175">
        <v>48210</v>
      </c>
      <c r="K48" s="195" t="s">
        <v>515</v>
      </c>
      <c r="L48" s="175">
        <v>24</v>
      </c>
      <c r="M48" s="175">
        <v>24</v>
      </c>
      <c r="N48" s="175"/>
      <c r="O48" s="178" t="s">
        <v>211</v>
      </c>
      <c r="P48" s="175" t="s">
        <v>953</v>
      </c>
      <c r="Q48" s="189" t="s">
        <v>860</v>
      </c>
      <c r="R48" s="189" t="s">
        <v>767</v>
      </c>
      <c r="S48" s="175" t="s">
        <v>877</v>
      </c>
      <c r="T48" s="175">
        <v>4</v>
      </c>
      <c r="U48" s="175"/>
      <c r="V48" s="175" t="s">
        <v>877</v>
      </c>
      <c r="W48" s="238"/>
      <c r="X48" s="180" t="s">
        <v>1338</v>
      </c>
      <c r="Y48" s="171"/>
      <c r="Z48" s="238" t="s">
        <v>1025</v>
      </c>
      <c r="AA48" s="208" t="s">
        <v>1063</v>
      </c>
      <c r="AB48" s="208" t="s">
        <v>1057</v>
      </c>
      <c r="AC48" s="251" t="s">
        <v>1395</v>
      </c>
      <c r="AD48" s="253"/>
    </row>
    <row r="49" spans="1:30" s="2" customFormat="1" ht="38.25" customHeight="1" x14ac:dyDescent="0.2">
      <c r="A49" s="214" t="s">
        <v>13</v>
      </c>
      <c r="B49" s="173" t="s">
        <v>416</v>
      </c>
      <c r="C49" s="167" t="s">
        <v>340</v>
      </c>
      <c r="D49" s="166" t="s">
        <v>195</v>
      </c>
      <c r="E49" s="166" t="s">
        <v>208</v>
      </c>
      <c r="F49" s="177" t="s">
        <v>3</v>
      </c>
      <c r="G49" s="177" t="s">
        <v>1150</v>
      </c>
      <c r="H49" s="168">
        <v>305</v>
      </c>
      <c r="I49" s="168">
        <v>2</v>
      </c>
      <c r="J49" s="175">
        <v>46629</v>
      </c>
      <c r="K49" s="194" t="s">
        <v>515</v>
      </c>
      <c r="L49" s="168">
        <v>16</v>
      </c>
      <c r="M49" s="168">
        <v>0</v>
      </c>
      <c r="N49" s="168" t="s">
        <v>524</v>
      </c>
      <c r="O49" s="166" t="s">
        <v>534</v>
      </c>
      <c r="P49" s="168" t="s">
        <v>953</v>
      </c>
      <c r="Q49" s="170" t="s">
        <v>860</v>
      </c>
      <c r="R49" s="170" t="s">
        <v>767</v>
      </c>
      <c r="S49" s="175" t="s">
        <v>877</v>
      </c>
      <c r="T49" s="168">
        <v>2</v>
      </c>
      <c r="U49" s="175"/>
      <c r="V49" s="175" t="s">
        <v>877</v>
      </c>
      <c r="W49" s="238"/>
      <c r="X49" s="180"/>
      <c r="Y49" s="171"/>
      <c r="Z49" s="238" t="s">
        <v>1091</v>
      </c>
      <c r="AA49" s="208" t="s">
        <v>1092</v>
      </c>
      <c r="AB49" s="208" t="s">
        <v>1101</v>
      </c>
      <c r="AC49" s="250" t="s">
        <v>1392</v>
      </c>
    </row>
    <row r="50" spans="1:30" s="2" customFormat="1" ht="38.25" customHeight="1" x14ac:dyDescent="0.2">
      <c r="A50" s="214" t="s">
        <v>631</v>
      </c>
      <c r="B50" s="205" t="s">
        <v>539</v>
      </c>
      <c r="C50" s="167" t="s">
        <v>1414</v>
      </c>
      <c r="D50" s="166">
        <v>40</v>
      </c>
      <c r="E50" s="166" t="s">
        <v>208</v>
      </c>
      <c r="F50" s="177" t="s">
        <v>3</v>
      </c>
      <c r="G50" s="177" t="s">
        <v>1052</v>
      </c>
      <c r="H50" s="168">
        <v>362</v>
      </c>
      <c r="I50" s="168">
        <v>2</v>
      </c>
      <c r="J50" s="175">
        <v>47381</v>
      </c>
      <c r="K50" s="194"/>
      <c r="L50" s="168">
        <v>4</v>
      </c>
      <c r="M50" s="168">
        <v>0</v>
      </c>
      <c r="N50" s="168" t="s">
        <v>524</v>
      </c>
      <c r="O50" s="178" t="s">
        <v>211</v>
      </c>
      <c r="P50" s="175" t="s">
        <v>964</v>
      </c>
      <c r="Q50" s="170"/>
      <c r="R50" s="170"/>
      <c r="S50" s="175" t="s">
        <v>877</v>
      </c>
      <c r="T50" s="168">
        <v>2</v>
      </c>
      <c r="U50" s="175"/>
      <c r="V50" s="175"/>
      <c r="W50" s="171"/>
      <c r="X50" s="180" t="s">
        <v>1232</v>
      </c>
      <c r="Y50" s="171"/>
      <c r="Z50" s="210" t="s">
        <v>1413</v>
      </c>
      <c r="AA50" s="208"/>
      <c r="AB50" s="208"/>
      <c r="AC50" s="250"/>
    </row>
    <row r="51" spans="1:30" s="2" customFormat="1" ht="38.25" customHeight="1" x14ac:dyDescent="0.2">
      <c r="A51" s="215" t="s">
        <v>14</v>
      </c>
      <c r="B51" s="182" t="s">
        <v>416</v>
      </c>
      <c r="C51" s="187" t="s">
        <v>341</v>
      </c>
      <c r="D51" s="178" t="s">
        <v>195</v>
      </c>
      <c r="E51" s="178" t="s">
        <v>208</v>
      </c>
      <c r="F51" s="191" t="s">
        <v>3</v>
      </c>
      <c r="G51" s="191" t="s">
        <v>1152</v>
      </c>
      <c r="H51" s="175">
        <v>301</v>
      </c>
      <c r="I51" s="175">
        <v>2</v>
      </c>
      <c r="J51" s="175">
        <v>47375</v>
      </c>
      <c r="K51" s="195" t="s">
        <v>515</v>
      </c>
      <c r="L51" s="175">
        <v>16</v>
      </c>
      <c r="M51" s="175">
        <v>6</v>
      </c>
      <c r="N51" s="175"/>
      <c r="O51" s="178" t="s">
        <v>211</v>
      </c>
      <c r="P51" s="175" t="s">
        <v>964</v>
      </c>
      <c r="Q51" s="189" t="s">
        <v>860</v>
      </c>
      <c r="R51" s="189" t="s">
        <v>767</v>
      </c>
      <c r="S51" s="175" t="s">
        <v>877</v>
      </c>
      <c r="T51" s="175">
        <v>1</v>
      </c>
      <c r="U51" s="175"/>
      <c r="V51" s="175" t="s">
        <v>877</v>
      </c>
      <c r="W51" s="238"/>
      <c r="X51" s="180" t="s">
        <v>1321</v>
      </c>
      <c r="Y51" s="171"/>
      <c r="Z51" s="240" t="s">
        <v>986</v>
      </c>
      <c r="AA51" s="208" t="s">
        <v>894</v>
      </c>
      <c r="AB51" s="208" t="s">
        <v>895</v>
      </c>
      <c r="AC51" s="250" t="s">
        <v>1392</v>
      </c>
    </row>
    <row r="52" spans="1:30" s="2" customFormat="1" ht="38.25" customHeight="1" x14ac:dyDescent="0.2">
      <c r="A52" s="214" t="s">
        <v>15</v>
      </c>
      <c r="B52" s="166" t="s">
        <v>76</v>
      </c>
      <c r="C52" s="167" t="s">
        <v>361</v>
      </c>
      <c r="D52" s="166" t="s">
        <v>342</v>
      </c>
      <c r="E52" s="166" t="s">
        <v>208</v>
      </c>
      <c r="F52" s="177" t="s">
        <v>3</v>
      </c>
      <c r="G52" s="177" t="s">
        <v>1054</v>
      </c>
      <c r="H52" s="168">
        <v>323</v>
      </c>
      <c r="I52" s="168">
        <v>2</v>
      </c>
      <c r="J52" s="175">
        <v>29951</v>
      </c>
      <c r="K52" s="194" t="s">
        <v>201</v>
      </c>
      <c r="L52" s="168">
        <v>16</v>
      </c>
      <c r="M52" s="168">
        <v>12</v>
      </c>
      <c r="N52" s="168"/>
      <c r="O52" s="166" t="s">
        <v>211</v>
      </c>
      <c r="P52" s="168" t="s">
        <v>224</v>
      </c>
      <c r="Q52" s="170" t="s">
        <v>860</v>
      </c>
      <c r="R52" s="170" t="s">
        <v>767</v>
      </c>
      <c r="S52" s="168" t="s">
        <v>877</v>
      </c>
      <c r="T52" s="168">
        <v>1</v>
      </c>
      <c r="U52" s="168"/>
      <c r="V52" s="175" t="s">
        <v>877</v>
      </c>
      <c r="W52" s="171"/>
      <c r="X52" s="180"/>
      <c r="Y52" s="171"/>
      <c r="Z52" s="238" t="s">
        <v>982</v>
      </c>
      <c r="AA52" s="208" t="s">
        <v>921</v>
      </c>
      <c r="AB52" s="208" t="s">
        <v>922</v>
      </c>
      <c r="AC52" s="250" t="s">
        <v>1392</v>
      </c>
    </row>
    <row r="53" spans="1:30" s="95" customFormat="1" ht="38.25" customHeight="1" x14ac:dyDescent="0.2">
      <c r="A53" s="215" t="s">
        <v>16</v>
      </c>
      <c r="B53" s="182" t="s">
        <v>416</v>
      </c>
      <c r="C53" s="187" t="s">
        <v>343</v>
      </c>
      <c r="D53" s="178" t="s">
        <v>195</v>
      </c>
      <c r="E53" s="178" t="s">
        <v>208</v>
      </c>
      <c r="F53" s="191" t="s">
        <v>53</v>
      </c>
      <c r="G53" s="191" t="s">
        <v>238</v>
      </c>
      <c r="H53" s="175">
        <v>203</v>
      </c>
      <c r="I53" s="175">
        <v>5</v>
      </c>
      <c r="J53" s="175">
        <v>47433</v>
      </c>
      <c r="K53" s="195" t="s">
        <v>210</v>
      </c>
      <c r="L53" s="175">
        <v>16</v>
      </c>
      <c r="M53" s="175">
        <v>11</v>
      </c>
      <c r="N53" s="201"/>
      <c r="O53" s="178" t="s">
        <v>211</v>
      </c>
      <c r="P53" s="175" t="s">
        <v>964</v>
      </c>
      <c r="Q53" s="189" t="s">
        <v>882</v>
      </c>
      <c r="R53" s="199" t="s">
        <v>674</v>
      </c>
      <c r="S53" s="175" t="s">
        <v>877</v>
      </c>
      <c r="T53" s="175">
        <v>2</v>
      </c>
      <c r="U53" s="175"/>
      <c r="V53" s="175" t="s">
        <v>877</v>
      </c>
      <c r="W53" s="241"/>
      <c r="X53" s="180"/>
      <c r="Y53" s="180" t="s">
        <v>1200</v>
      </c>
      <c r="Z53" s="240" t="s">
        <v>1107</v>
      </c>
      <c r="AA53" s="208" t="s">
        <v>1108</v>
      </c>
      <c r="AB53" s="208" t="s">
        <v>1109</v>
      </c>
      <c r="AC53" s="278"/>
    </row>
    <row r="54" spans="1:30" s="2" customFormat="1" ht="38.25" customHeight="1" x14ac:dyDescent="0.2">
      <c r="A54" s="261" t="s">
        <v>17</v>
      </c>
      <c r="B54" s="264" t="s">
        <v>76</v>
      </c>
      <c r="C54" s="263" t="s">
        <v>344</v>
      </c>
      <c r="D54" s="264" t="s">
        <v>195</v>
      </c>
      <c r="E54" s="264" t="s">
        <v>208</v>
      </c>
      <c r="F54" s="265" t="s">
        <v>53</v>
      </c>
      <c r="G54" s="265" t="s">
        <v>236</v>
      </c>
      <c r="H54" s="266">
        <v>367</v>
      </c>
      <c r="I54" s="266">
        <v>5</v>
      </c>
      <c r="J54" s="267">
        <v>29796</v>
      </c>
      <c r="K54" s="268" t="s">
        <v>209</v>
      </c>
      <c r="L54" s="266">
        <v>24</v>
      </c>
      <c r="M54" s="266">
        <v>12</v>
      </c>
      <c r="N54" s="266"/>
      <c r="O54" s="264" t="s">
        <v>211</v>
      </c>
      <c r="P54" s="266" t="s">
        <v>224</v>
      </c>
      <c r="Q54" s="270" t="s">
        <v>882</v>
      </c>
      <c r="R54" s="277" t="s">
        <v>471</v>
      </c>
      <c r="S54" s="266" t="s">
        <v>877</v>
      </c>
      <c r="T54" s="266">
        <v>4</v>
      </c>
      <c r="U54" s="266"/>
      <c r="V54" s="267" t="s">
        <v>877</v>
      </c>
      <c r="W54" s="271"/>
      <c r="X54" s="272" t="s">
        <v>1263</v>
      </c>
      <c r="Y54" s="271"/>
      <c r="Z54" s="273" t="s">
        <v>1428</v>
      </c>
      <c r="AA54" s="274" t="s">
        <v>1095</v>
      </c>
      <c r="AB54" s="274" t="s">
        <v>1102</v>
      </c>
      <c r="AC54" s="250" t="s">
        <v>1392</v>
      </c>
    </row>
    <row r="55" spans="1:30" s="95" customFormat="1" ht="38.25" customHeight="1" x14ac:dyDescent="0.2">
      <c r="A55" s="215" t="s">
        <v>18</v>
      </c>
      <c r="B55" s="178" t="s">
        <v>76</v>
      </c>
      <c r="C55" s="187" t="s">
        <v>343</v>
      </c>
      <c r="D55" s="178">
        <v>40</v>
      </c>
      <c r="E55" s="178" t="s">
        <v>208</v>
      </c>
      <c r="F55" s="191" t="s">
        <v>53</v>
      </c>
      <c r="G55" s="191" t="s">
        <v>1161</v>
      </c>
      <c r="H55" s="175">
        <v>316</v>
      </c>
      <c r="I55" s="175">
        <v>5</v>
      </c>
      <c r="J55" s="175">
        <v>33973</v>
      </c>
      <c r="K55" s="195" t="s">
        <v>210</v>
      </c>
      <c r="L55" s="175">
        <v>16</v>
      </c>
      <c r="M55" s="175">
        <v>16</v>
      </c>
      <c r="N55" s="175"/>
      <c r="O55" s="178" t="s">
        <v>211</v>
      </c>
      <c r="P55" s="175" t="s">
        <v>224</v>
      </c>
      <c r="Q55" s="189" t="s">
        <v>882</v>
      </c>
      <c r="R55" s="199" t="s">
        <v>470</v>
      </c>
      <c r="S55" s="175" t="s">
        <v>877</v>
      </c>
      <c r="T55" s="175">
        <v>4</v>
      </c>
      <c r="U55" s="175"/>
      <c r="V55" s="175" t="s">
        <v>877</v>
      </c>
      <c r="W55" s="180"/>
      <c r="X55" s="180"/>
      <c r="Y55" s="180"/>
      <c r="Z55" s="240" t="s">
        <v>1096</v>
      </c>
      <c r="AA55" s="208" t="s">
        <v>1097</v>
      </c>
      <c r="AB55" s="208" t="s">
        <v>1103</v>
      </c>
      <c r="AC55" s="275" t="s">
        <v>1392</v>
      </c>
    </row>
    <row r="56" spans="1:30" s="2" customFormat="1" ht="38.25" customHeight="1" x14ac:dyDescent="0.2">
      <c r="A56" s="261" t="s">
        <v>19</v>
      </c>
      <c r="B56" s="262" t="s">
        <v>416</v>
      </c>
      <c r="C56" s="263" t="s">
        <v>346</v>
      </c>
      <c r="D56" s="264" t="s">
        <v>347</v>
      </c>
      <c r="E56" s="264" t="s">
        <v>208</v>
      </c>
      <c r="F56" s="265" t="s">
        <v>3</v>
      </c>
      <c r="G56" s="265" t="s">
        <v>1165</v>
      </c>
      <c r="H56" s="266">
        <v>264</v>
      </c>
      <c r="I56" s="266">
        <v>2</v>
      </c>
      <c r="J56" s="267">
        <v>46319</v>
      </c>
      <c r="K56" s="268" t="s">
        <v>515</v>
      </c>
      <c r="L56" s="266">
        <v>24</v>
      </c>
      <c r="M56" s="266">
        <v>22</v>
      </c>
      <c r="N56" s="266"/>
      <c r="O56" s="269" t="s">
        <v>211</v>
      </c>
      <c r="P56" s="266" t="s">
        <v>953</v>
      </c>
      <c r="Q56" s="270" t="s">
        <v>860</v>
      </c>
      <c r="R56" s="270" t="s">
        <v>767</v>
      </c>
      <c r="S56" s="266" t="s">
        <v>877</v>
      </c>
      <c r="T56" s="266">
        <v>2</v>
      </c>
      <c r="U56" s="266"/>
      <c r="V56" s="267" t="s">
        <v>877</v>
      </c>
      <c r="W56" s="238"/>
      <c r="X56" s="272"/>
      <c r="Y56" s="271"/>
      <c r="Z56" s="273" t="s">
        <v>983</v>
      </c>
      <c r="AA56" s="274" t="s">
        <v>1060</v>
      </c>
      <c r="AB56" s="274" t="s">
        <v>1159</v>
      </c>
      <c r="AC56" s="249"/>
    </row>
    <row r="57" spans="1:30" s="2" customFormat="1" ht="38.25" customHeight="1" x14ac:dyDescent="0.2">
      <c r="A57" s="214" t="s">
        <v>20</v>
      </c>
      <c r="B57" s="166" t="s">
        <v>76</v>
      </c>
      <c r="C57" s="167" t="s">
        <v>316</v>
      </c>
      <c r="D57" s="166" t="s">
        <v>195</v>
      </c>
      <c r="E57" s="166" t="s">
        <v>208</v>
      </c>
      <c r="F57" s="177" t="s">
        <v>3</v>
      </c>
      <c r="G57" s="177" t="s">
        <v>1150</v>
      </c>
      <c r="H57" s="168">
        <v>334</v>
      </c>
      <c r="I57" s="168">
        <v>2</v>
      </c>
      <c r="J57" s="175">
        <v>29788</v>
      </c>
      <c r="K57" s="194" t="s">
        <v>210</v>
      </c>
      <c r="L57" s="168">
        <v>32</v>
      </c>
      <c r="M57" s="168">
        <v>23</v>
      </c>
      <c r="N57" s="168"/>
      <c r="O57" s="166" t="s">
        <v>211</v>
      </c>
      <c r="P57" s="168" t="s">
        <v>224</v>
      </c>
      <c r="Q57" s="170" t="s">
        <v>860</v>
      </c>
      <c r="R57" s="170" t="s">
        <v>767</v>
      </c>
      <c r="S57" s="168" t="s">
        <v>877</v>
      </c>
      <c r="T57" s="168">
        <v>3</v>
      </c>
      <c r="U57" s="168"/>
      <c r="V57" s="175" t="s">
        <v>877</v>
      </c>
      <c r="W57" s="171"/>
      <c r="X57" s="180" t="s">
        <v>1229</v>
      </c>
      <c r="Y57" s="171"/>
      <c r="Z57" s="260" t="s">
        <v>1432</v>
      </c>
      <c r="AA57" s="208" t="s">
        <v>925</v>
      </c>
      <c r="AB57" s="208" t="s">
        <v>926</v>
      </c>
      <c r="AC57" s="250" t="s">
        <v>1392</v>
      </c>
    </row>
    <row r="58" spans="1:30" s="2" customFormat="1" ht="38.25" customHeight="1" x14ac:dyDescent="0.2">
      <c r="A58" s="214" t="s">
        <v>21</v>
      </c>
      <c r="B58" s="166" t="s">
        <v>76</v>
      </c>
      <c r="C58" s="167" t="s">
        <v>312</v>
      </c>
      <c r="D58" s="166" t="s">
        <v>195</v>
      </c>
      <c r="E58" s="166" t="s">
        <v>208</v>
      </c>
      <c r="F58" s="177" t="s">
        <v>3</v>
      </c>
      <c r="G58" s="177" t="s">
        <v>1052</v>
      </c>
      <c r="H58" s="168">
        <v>302</v>
      </c>
      <c r="I58" s="168">
        <v>2</v>
      </c>
      <c r="J58" s="175">
        <v>36132</v>
      </c>
      <c r="K58" s="194" t="s">
        <v>210</v>
      </c>
      <c r="L58" s="168">
        <v>16</v>
      </c>
      <c r="M58" s="168">
        <v>7</v>
      </c>
      <c r="N58" s="168"/>
      <c r="O58" s="166" t="s">
        <v>211</v>
      </c>
      <c r="P58" s="168" t="s">
        <v>224</v>
      </c>
      <c r="Q58" s="170" t="s">
        <v>860</v>
      </c>
      <c r="R58" s="169" t="s">
        <v>465</v>
      </c>
      <c r="S58" s="168" t="s">
        <v>877</v>
      </c>
      <c r="T58" s="168"/>
      <c r="U58" s="175"/>
      <c r="V58" s="175" t="s">
        <v>877</v>
      </c>
      <c r="W58" s="171"/>
      <c r="X58" s="171" t="s">
        <v>1265</v>
      </c>
      <c r="Y58" s="213"/>
      <c r="Z58" s="238" t="s">
        <v>1012</v>
      </c>
      <c r="AA58" s="208" t="s">
        <v>945</v>
      </c>
      <c r="AB58" s="208" t="s">
        <v>946</v>
      </c>
      <c r="AC58" s="251" t="s">
        <v>1394</v>
      </c>
      <c r="AD58" s="253"/>
    </row>
    <row r="59" spans="1:30" s="2" customFormat="1" ht="38.25" customHeight="1" x14ac:dyDescent="0.2">
      <c r="A59" s="214" t="s">
        <v>22</v>
      </c>
      <c r="B59" s="173" t="s">
        <v>416</v>
      </c>
      <c r="C59" s="167" t="s">
        <v>348</v>
      </c>
      <c r="D59" s="166" t="s">
        <v>655</v>
      </c>
      <c r="E59" s="166" t="s">
        <v>208</v>
      </c>
      <c r="F59" s="177" t="s">
        <v>53</v>
      </c>
      <c r="G59" s="177" t="s">
        <v>508</v>
      </c>
      <c r="H59" s="168">
        <v>320</v>
      </c>
      <c r="I59" s="168">
        <v>5</v>
      </c>
      <c r="J59" s="175">
        <v>46317</v>
      </c>
      <c r="K59" s="194" t="s">
        <v>210</v>
      </c>
      <c r="L59" s="168">
        <v>16</v>
      </c>
      <c r="M59" s="168">
        <v>15</v>
      </c>
      <c r="N59" s="168" t="s">
        <v>213</v>
      </c>
      <c r="O59" s="166" t="s">
        <v>211</v>
      </c>
      <c r="P59" s="168" t="s">
        <v>953</v>
      </c>
      <c r="Q59" s="170" t="s">
        <v>882</v>
      </c>
      <c r="R59" s="169" t="s">
        <v>471</v>
      </c>
      <c r="S59" s="168" t="s">
        <v>877</v>
      </c>
      <c r="T59" s="168">
        <v>5</v>
      </c>
      <c r="U59" s="168"/>
      <c r="V59" s="175" t="s">
        <v>877</v>
      </c>
      <c r="W59" s="238"/>
      <c r="X59" s="180" t="s">
        <v>1266</v>
      </c>
      <c r="Y59" s="190"/>
      <c r="Z59" s="238" t="s">
        <v>987</v>
      </c>
      <c r="AA59" s="208" t="s">
        <v>1061</v>
      </c>
      <c r="AB59" s="208" t="s">
        <v>1159</v>
      </c>
      <c r="AC59" s="250" t="s">
        <v>1392</v>
      </c>
    </row>
    <row r="60" spans="1:30" s="2" customFormat="1" ht="38.25" customHeight="1" x14ac:dyDescent="0.2">
      <c r="A60" s="214" t="s">
        <v>23</v>
      </c>
      <c r="B60" s="173" t="s">
        <v>416</v>
      </c>
      <c r="C60" s="167" t="s">
        <v>299</v>
      </c>
      <c r="D60" s="166" t="s">
        <v>349</v>
      </c>
      <c r="E60" s="166" t="s">
        <v>208</v>
      </c>
      <c r="F60" s="177" t="s">
        <v>3</v>
      </c>
      <c r="G60" s="177" t="s">
        <v>1174</v>
      </c>
      <c r="H60" s="168">
        <v>330</v>
      </c>
      <c r="I60" s="168">
        <v>1</v>
      </c>
      <c r="J60" s="175">
        <v>46214</v>
      </c>
      <c r="K60" s="194" t="s">
        <v>1039</v>
      </c>
      <c r="L60" s="168">
        <v>16</v>
      </c>
      <c r="M60" s="168">
        <v>8</v>
      </c>
      <c r="N60" s="168"/>
      <c r="O60" s="166" t="s">
        <v>211</v>
      </c>
      <c r="P60" s="168" t="s">
        <v>953</v>
      </c>
      <c r="Q60" s="170" t="s">
        <v>860</v>
      </c>
      <c r="R60" s="169" t="s">
        <v>471</v>
      </c>
      <c r="S60" s="168" t="s">
        <v>877</v>
      </c>
      <c r="T60" s="168">
        <v>3</v>
      </c>
      <c r="U60" s="168"/>
      <c r="V60" s="175" t="s">
        <v>877</v>
      </c>
      <c r="W60" s="238"/>
      <c r="X60" s="171"/>
      <c r="Y60" s="180"/>
      <c r="Z60" s="238" t="s">
        <v>985</v>
      </c>
      <c r="AA60" s="208" t="s">
        <v>951</v>
      </c>
      <c r="AB60" s="208" t="s">
        <v>952</v>
      </c>
      <c r="AC60" s="250" t="s">
        <v>1392</v>
      </c>
    </row>
    <row r="61" spans="1:30" s="2" customFormat="1" ht="38.25" customHeight="1" x14ac:dyDescent="0.2">
      <c r="A61" s="214" t="s">
        <v>25</v>
      </c>
      <c r="B61" s="173" t="s">
        <v>416</v>
      </c>
      <c r="C61" s="167" t="s">
        <v>350</v>
      </c>
      <c r="D61" s="166">
        <v>140</v>
      </c>
      <c r="E61" s="166" t="s">
        <v>208</v>
      </c>
      <c r="F61" s="177" t="s">
        <v>3</v>
      </c>
      <c r="G61" s="177" t="s">
        <v>1170</v>
      </c>
      <c r="H61" s="168">
        <v>336</v>
      </c>
      <c r="I61" s="168">
        <v>1</v>
      </c>
      <c r="J61" s="175">
        <v>42095</v>
      </c>
      <c r="K61" s="194" t="s">
        <v>1039</v>
      </c>
      <c r="L61" s="168">
        <v>16</v>
      </c>
      <c r="M61" s="168">
        <v>15</v>
      </c>
      <c r="N61" s="168"/>
      <c r="O61" s="166" t="s">
        <v>211</v>
      </c>
      <c r="P61" s="168" t="s">
        <v>953</v>
      </c>
      <c r="Q61" s="170" t="s">
        <v>860</v>
      </c>
      <c r="R61" s="170" t="s">
        <v>767</v>
      </c>
      <c r="S61" s="168" t="s">
        <v>877</v>
      </c>
      <c r="T61" s="168">
        <v>3</v>
      </c>
      <c r="U61" s="168"/>
      <c r="V61" s="175" t="s">
        <v>877</v>
      </c>
      <c r="W61" s="238"/>
      <c r="X61" s="171" t="s">
        <v>1267</v>
      </c>
      <c r="Y61" s="171"/>
      <c r="Z61" s="240" t="s">
        <v>988</v>
      </c>
      <c r="AA61" s="208" t="s">
        <v>1072</v>
      </c>
      <c r="AB61" s="208" t="s">
        <v>1159</v>
      </c>
      <c r="AC61" s="251" t="s">
        <v>1397</v>
      </c>
    </row>
    <row r="62" spans="1:30" s="2" customFormat="1" ht="38.25" customHeight="1" x14ac:dyDescent="0.2">
      <c r="A62" s="214" t="s">
        <v>26</v>
      </c>
      <c r="B62" s="173" t="s">
        <v>416</v>
      </c>
      <c r="C62" s="167" t="s">
        <v>478</v>
      </c>
      <c r="D62" s="166">
        <v>140</v>
      </c>
      <c r="E62" s="166" t="s">
        <v>208</v>
      </c>
      <c r="F62" s="177" t="s">
        <v>3</v>
      </c>
      <c r="G62" s="177" t="s">
        <v>55</v>
      </c>
      <c r="H62" s="168">
        <v>335</v>
      </c>
      <c r="I62" s="168">
        <v>1</v>
      </c>
      <c r="J62" s="175">
        <v>41903</v>
      </c>
      <c r="K62" s="194" t="s">
        <v>515</v>
      </c>
      <c r="L62" s="168">
        <v>16</v>
      </c>
      <c r="M62" s="168">
        <v>14</v>
      </c>
      <c r="N62" s="168"/>
      <c r="O62" s="166" t="s">
        <v>211</v>
      </c>
      <c r="P62" s="168" t="s">
        <v>953</v>
      </c>
      <c r="Q62" s="170" t="s">
        <v>860</v>
      </c>
      <c r="R62" s="170" t="s">
        <v>767</v>
      </c>
      <c r="S62" s="168" t="s">
        <v>877</v>
      </c>
      <c r="T62" s="168"/>
      <c r="U62" s="168"/>
      <c r="V62" s="175" t="s">
        <v>877</v>
      </c>
      <c r="W62" s="238"/>
      <c r="X62" s="180" t="s">
        <v>1268</v>
      </c>
      <c r="Y62" s="171"/>
      <c r="Z62" s="238" t="s">
        <v>989</v>
      </c>
      <c r="AA62" s="208" t="s">
        <v>1073</v>
      </c>
      <c r="AB62" s="208" t="s">
        <v>1159</v>
      </c>
      <c r="AC62" s="250" t="s">
        <v>1392</v>
      </c>
    </row>
    <row r="63" spans="1:30" s="2" customFormat="1" ht="42.75" x14ac:dyDescent="0.2">
      <c r="A63" s="214" t="s">
        <v>28</v>
      </c>
      <c r="B63" s="173" t="s">
        <v>416</v>
      </c>
      <c r="C63" s="167" t="s">
        <v>1142</v>
      </c>
      <c r="D63" s="166" t="s">
        <v>352</v>
      </c>
      <c r="E63" s="166" t="s">
        <v>208</v>
      </c>
      <c r="F63" s="177" t="s">
        <v>3</v>
      </c>
      <c r="G63" s="177" t="s">
        <v>448</v>
      </c>
      <c r="H63" s="168">
        <v>268</v>
      </c>
      <c r="I63" s="168">
        <v>1</v>
      </c>
      <c r="J63" s="175">
        <v>46115</v>
      </c>
      <c r="K63" s="194" t="s">
        <v>515</v>
      </c>
      <c r="L63" s="168">
        <v>16</v>
      </c>
      <c r="M63" s="168">
        <v>6</v>
      </c>
      <c r="N63" s="168"/>
      <c r="O63" s="166" t="s">
        <v>211</v>
      </c>
      <c r="P63" s="168" t="s">
        <v>953</v>
      </c>
      <c r="Q63" s="170" t="s">
        <v>860</v>
      </c>
      <c r="R63" s="169" t="s">
        <v>464</v>
      </c>
      <c r="S63" s="168" t="s">
        <v>877</v>
      </c>
      <c r="T63" s="168">
        <v>4</v>
      </c>
      <c r="U63" s="175"/>
      <c r="V63" s="175" t="s">
        <v>877</v>
      </c>
      <c r="W63" s="238"/>
      <c r="X63" s="180" t="s">
        <v>1269</v>
      </c>
      <c r="Y63" s="226"/>
      <c r="Z63" s="238" t="s">
        <v>1003</v>
      </c>
      <c r="AA63" s="208" t="s">
        <v>967</v>
      </c>
      <c r="AB63" s="208" t="s">
        <v>968</v>
      </c>
      <c r="AC63" s="250" t="s">
        <v>1392</v>
      </c>
    </row>
    <row r="64" spans="1:30" s="2" customFormat="1" ht="42.75" x14ac:dyDescent="0.2">
      <c r="A64" s="214" t="s">
        <v>29</v>
      </c>
      <c r="B64" s="173" t="s">
        <v>416</v>
      </c>
      <c r="C64" s="167" t="s">
        <v>1141</v>
      </c>
      <c r="D64" s="166">
        <v>100</v>
      </c>
      <c r="E64" s="166" t="s">
        <v>208</v>
      </c>
      <c r="F64" s="177" t="s">
        <v>3</v>
      </c>
      <c r="G64" s="177" t="s">
        <v>263</v>
      </c>
      <c r="H64" s="168">
        <v>267</v>
      </c>
      <c r="I64" s="168">
        <v>2</v>
      </c>
      <c r="J64" s="175">
        <v>47378</v>
      </c>
      <c r="K64" s="194" t="s">
        <v>515</v>
      </c>
      <c r="L64" s="168">
        <v>16</v>
      </c>
      <c r="M64" s="168">
        <v>8</v>
      </c>
      <c r="N64" s="168"/>
      <c r="O64" s="166" t="s">
        <v>211</v>
      </c>
      <c r="P64" s="168" t="s">
        <v>964</v>
      </c>
      <c r="Q64" s="170" t="s">
        <v>860</v>
      </c>
      <c r="R64" s="170" t="s">
        <v>767</v>
      </c>
      <c r="S64" s="168" t="s">
        <v>877</v>
      </c>
      <c r="T64" s="168">
        <v>14</v>
      </c>
      <c r="U64" s="168"/>
      <c r="V64" s="175" t="s">
        <v>877</v>
      </c>
      <c r="W64" s="238"/>
      <c r="X64" s="180" t="s">
        <v>1270</v>
      </c>
      <c r="Y64" s="171"/>
      <c r="Z64" s="238" t="s">
        <v>979</v>
      </c>
      <c r="AA64" s="208" t="s">
        <v>908</v>
      </c>
      <c r="AB64" s="208" t="s">
        <v>909</v>
      </c>
      <c r="AC64" s="250" t="s">
        <v>1392</v>
      </c>
    </row>
    <row r="65" spans="1:34" s="2" customFormat="1" ht="38.25" customHeight="1" x14ac:dyDescent="0.2">
      <c r="A65" s="215" t="s">
        <v>31</v>
      </c>
      <c r="B65" s="173" t="s">
        <v>416</v>
      </c>
      <c r="C65" s="187" t="s">
        <v>335</v>
      </c>
      <c r="D65" s="178">
        <v>140</v>
      </c>
      <c r="E65" s="178" t="s">
        <v>208</v>
      </c>
      <c r="F65" s="191" t="s">
        <v>3</v>
      </c>
      <c r="G65" s="191" t="s">
        <v>646</v>
      </c>
      <c r="H65" s="175">
        <v>312</v>
      </c>
      <c r="I65" s="175">
        <v>2</v>
      </c>
      <c r="J65" s="175">
        <v>41895</v>
      </c>
      <c r="K65" s="195" t="s">
        <v>443</v>
      </c>
      <c r="L65" s="175">
        <v>8</v>
      </c>
      <c r="M65" s="175">
        <v>6</v>
      </c>
      <c r="N65" s="166"/>
      <c r="O65" s="178" t="s">
        <v>211</v>
      </c>
      <c r="P65" s="175" t="s">
        <v>953</v>
      </c>
      <c r="Q65" s="189" t="s">
        <v>860</v>
      </c>
      <c r="R65" s="187" t="s">
        <v>436</v>
      </c>
      <c r="S65" s="175" t="s">
        <v>877</v>
      </c>
      <c r="T65" s="175">
        <v>5</v>
      </c>
      <c r="U65" s="175"/>
      <c r="V65" s="175" t="s">
        <v>877</v>
      </c>
      <c r="W65" s="238"/>
      <c r="X65" s="180" t="s">
        <v>1237</v>
      </c>
      <c r="Y65" s="180"/>
      <c r="Z65" s="240" t="s">
        <v>1372</v>
      </c>
      <c r="AA65" s="208" t="s">
        <v>939</v>
      </c>
      <c r="AB65" s="208" t="s">
        <v>940</v>
      </c>
      <c r="AC65" s="251" t="s">
        <v>1393</v>
      </c>
    </row>
    <row r="66" spans="1:34" s="2" customFormat="1" ht="38.25" customHeight="1" x14ac:dyDescent="0.2">
      <c r="A66" s="215" t="s">
        <v>33</v>
      </c>
      <c r="B66" s="182" t="s">
        <v>416</v>
      </c>
      <c r="C66" s="187" t="s">
        <v>356</v>
      </c>
      <c r="D66" s="178" t="s">
        <v>355</v>
      </c>
      <c r="E66" s="178" t="s">
        <v>208</v>
      </c>
      <c r="F66" s="191" t="s">
        <v>3</v>
      </c>
      <c r="G66" s="191" t="s">
        <v>1157</v>
      </c>
      <c r="H66" s="175">
        <v>326</v>
      </c>
      <c r="I66" s="175">
        <v>1</v>
      </c>
      <c r="J66" s="175">
        <v>46316</v>
      </c>
      <c r="K66" s="195" t="s">
        <v>515</v>
      </c>
      <c r="L66" s="175">
        <v>16</v>
      </c>
      <c r="M66" s="175">
        <v>14</v>
      </c>
      <c r="N66" s="175"/>
      <c r="O66" s="178" t="s">
        <v>211</v>
      </c>
      <c r="P66" s="175" t="s">
        <v>953</v>
      </c>
      <c r="Q66" s="189" t="s">
        <v>860</v>
      </c>
      <c r="R66" s="199" t="s">
        <v>435</v>
      </c>
      <c r="S66" s="175" t="s">
        <v>877</v>
      </c>
      <c r="T66" s="175">
        <v>3</v>
      </c>
      <c r="U66" s="175"/>
      <c r="V66" s="175" t="s">
        <v>877</v>
      </c>
      <c r="W66" s="238"/>
      <c r="X66" s="180"/>
      <c r="Y66" s="181"/>
      <c r="Z66" s="240" t="s">
        <v>992</v>
      </c>
      <c r="AA66" s="208" t="s">
        <v>1136</v>
      </c>
      <c r="AB66" s="208"/>
      <c r="AC66" s="251" t="s">
        <v>1397</v>
      </c>
    </row>
    <row r="67" spans="1:34" s="2" customFormat="1" ht="38.25" customHeight="1" x14ac:dyDescent="0.2">
      <c r="A67" s="214" t="s">
        <v>34</v>
      </c>
      <c r="B67" s="178" t="s">
        <v>76</v>
      </c>
      <c r="C67" s="167" t="s">
        <v>341</v>
      </c>
      <c r="D67" s="166" t="s">
        <v>349</v>
      </c>
      <c r="E67" s="166" t="s">
        <v>208</v>
      </c>
      <c r="F67" s="177" t="s">
        <v>3</v>
      </c>
      <c r="G67" s="177" t="s">
        <v>270</v>
      </c>
      <c r="H67" s="168">
        <v>333</v>
      </c>
      <c r="I67" s="168">
        <v>1</v>
      </c>
      <c r="J67" s="175">
        <v>30448</v>
      </c>
      <c r="K67" s="194" t="s">
        <v>209</v>
      </c>
      <c r="L67" s="168">
        <v>16</v>
      </c>
      <c r="M67" s="168">
        <v>8</v>
      </c>
      <c r="N67" s="168"/>
      <c r="O67" s="166" t="s">
        <v>211</v>
      </c>
      <c r="P67" s="191" t="s">
        <v>224</v>
      </c>
      <c r="Q67" s="170" t="s">
        <v>860</v>
      </c>
      <c r="R67" s="169" t="s">
        <v>465</v>
      </c>
      <c r="S67" s="175" t="s">
        <v>877</v>
      </c>
      <c r="T67" s="168">
        <v>1</v>
      </c>
      <c r="U67" s="168"/>
      <c r="V67" s="175" t="s">
        <v>877</v>
      </c>
      <c r="W67" s="171"/>
      <c r="X67" s="180"/>
      <c r="Y67" s="171"/>
      <c r="Z67" s="238" t="s">
        <v>1218</v>
      </c>
      <c r="AA67" s="208" t="s">
        <v>1217</v>
      </c>
      <c r="AB67" s="208" t="s">
        <v>1216</v>
      </c>
      <c r="AC67" s="250" t="s">
        <v>1392</v>
      </c>
    </row>
    <row r="68" spans="1:34" s="2" customFormat="1" ht="38.25" customHeight="1" x14ac:dyDescent="0.2">
      <c r="A68" s="215" t="s">
        <v>35</v>
      </c>
      <c r="B68" s="182" t="s">
        <v>416</v>
      </c>
      <c r="C68" s="187" t="s">
        <v>314</v>
      </c>
      <c r="D68" s="178">
        <v>140</v>
      </c>
      <c r="E68" s="178" t="s">
        <v>208</v>
      </c>
      <c r="F68" s="191" t="s">
        <v>3</v>
      </c>
      <c r="G68" s="191" t="s">
        <v>250</v>
      </c>
      <c r="H68" s="175">
        <v>329</v>
      </c>
      <c r="I68" s="175">
        <v>1</v>
      </c>
      <c r="J68" s="175">
        <v>46856</v>
      </c>
      <c r="K68" s="195" t="s">
        <v>209</v>
      </c>
      <c r="L68" s="175">
        <v>16</v>
      </c>
      <c r="M68" s="175">
        <v>13</v>
      </c>
      <c r="N68" s="175"/>
      <c r="O68" s="178" t="s">
        <v>211</v>
      </c>
      <c r="P68" s="175" t="s">
        <v>953</v>
      </c>
      <c r="Q68" s="189" t="s">
        <v>860</v>
      </c>
      <c r="R68" s="199" t="s">
        <v>464</v>
      </c>
      <c r="S68" s="175" t="s">
        <v>877</v>
      </c>
      <c r="T68" s="175">
        <v>2</v>
      </c>
      <c r="U68" s="175"/>
      <c r="V68" s="175" t="s">
        <v>877</v>
      </c>
      <c r="W68" s="238"/>
      <c r="X68" s="180"/>
      <c r="Y68" s="171"/>
      <c r="Z68" s="240" t="s">
        <v>993</v>
      </c>
      <c r="AA68" s="208" t="s">
        <v>1075</v>
      </c>
      <c r="AB68" s="208" t="s">
        <v>1159</v>
      </c>
      <c r="AC68" s="250" t="s">
        <v>1392</v>
      </c>
    </row>
    <row r="69" spans="1:34" s="2" customFormat="1" ht="38.25" customHeight="1" x14ac:dyDescent="0.2">
      <c r="A69" s="214" t="s">
        <v>36</v>
      </c>
      <c r="B69" s="173" t="s">
        <v>416</v>
      </c>
      <c r="C69" s="167" t="s">
        <v>479</v>
      </c>
      <c r="D69" s="166">
        <v>140</v>
      </c>
      <c r="E69" s="166" t="s">
        <v>208</v>
      </c>
      <c r="F69" s="177" t="s">
        <v>3</v>
      </c>
      <c r="G69" s="177" t="s">
        <v>1171</v>
      </c>
      <c r="H69" s="168">
        <v>328</v>
      </c>
      <c r="I69" s="168">
        <v>1</v>
      </c>
      <c r="J69" s="175">
        <v>47120</v>
      </c>
      <c r="K69" s="194" t="s">
        <v>548</v>
      </c>
      <c r="L69" s="168">
        <v>16</v>
      </c>
      <c r="M69" s="168">
        <v>13</v>
      </c>
      <c r="N69" s="168"/>
      <c r="O69" s="168" t="s">
        <v>211</v>
      </c>
      <c r="P69" s="168" t="s">
        <v>953</v>
      </c>
      <c r="Q69" s="170" t="s">
        <v>860</v>
      </c>
      <c r="R69" s="169" t="s">
        <v>481</v>
      </c>
      <c r="S69" s="168" t="s">
        <v>877</v>
      </c>
      <c r="T69" s="168">
        <v>4</v>
      </c>
      <c r="U69" s="168"/>
      <c r="V69" s="175" t="s">
        <v>877</v>
      </c>
      <c r="W69" s="238"/>
      <c r="X69" s="180"/>
      <c r="Y69" s="171"/>
      <c r="Z69" s="238" t="s">
        <v>994</v>
      </c>
      <c r="AA69" s="208" t="s">
        <v>1076</v>
      </c>
      <c r="AB69" s="208" t="s">
        <v>1159</v>
      </c>
      <c r="AC69" s="249"/>
    </row>
    <row r="70" spans="1:34" s="128" customFormat="1" ht="38.25" customHeight="1" x14ac:dyDescent="0.2">
      <c r="A70" s="215" t="s">
        <v>37</v>
      </c>
      <c r="B70" s="200" t="s">
        <v>76</v>
      </c>
      <c r="C70" s="199" t="s">
        <v>312</v>
      </c>
      <c r="D70" s="200" t="s">
        <v>349</v>
      </c>
      <c r="E70" s="200" t="s">
        <v>208</v>
      </c>
      <c r="F70" s="191" t="s">
        <v>3</v>
      </c>
      <c r="G70" s="191" t="s">
        <v>284</v>
      </c>
      <c r="H70" s="191">
        <v>332</v>
      </c>
      <c r="I70" s="191">
        <v>1</v>
      </c>
      <c r="J70" s="191">
        <v>29283</v>
      </c>
      <c r="K70" s="195" t="s">
        <v>201</v>
      </c>
      <c r="L70" s="191">
        <v>16</v>
      </c>
      <c r="M70" s="191">
        <v>8</v>
      </c>
      <c r="N70" s="191"/>
      <c r="O70" s="200" t="s">
        <v>211</v>
      </c>
      <c r="P70" s="191" t="s">
        <v>224</v>
      </c>
      <c r="Q70" s="189" t="s">
        <v>860</v>
      </c>
      <c r="R70" s="199" t="s">
        <v>471</v>
      </c>
      <c r="S70" s="191" t="s">
        <v>877</v>
      </c>
      <c r="T70" s="191">
        <v>1</v>
      </c>
      <c r="U70" s="191"/>
      <c r="V70" s="191" t="s">
        <v>877</v>
      </c>
      <c r="W70" s="171"/>
      <c r="X70" s="202"/>
      <c r="Y70" s="210"/>
      <c r="Z70" s="240" t="s">
        <v>995</v>
      </c>
      <c r="AA70" s="208" t="s">
        <v>947</v>
      </c>
      <c r="AB70" s="208" t="s">
        <v>948</v>
      </c>
      <c r="AC70" s="250" t="s">
        <v>1392</v>
      </c>
      <c r="AD70" s="2"/>
      <c r="AE70" s="2"/>
      <c r="AF70" s="2"/>
      <c r="AG70" s="2"/>
      <c r="AH70" s="2"/>
    </row>
    <row r="71" spans="1:34" s="2" customFormat="1" ht="38.25" customHeight="1" x14ac:dyDescent="0.2">
      <c r="A71" s="215" t="s">
        <v>38</v>
      </c>
      <c r="B71" s="178" t="s">
        <v>76</v>
      </c>
      <c r="C71" s="187" t="s">
        <v>362</v>
      </c>
      <c r="D71" s="178">
        <v>160</v>
      </c>
      <c r="E71" s="178" t="s">
        <v>208</v>
      </c>
      <c r="F71" s="191" t="s">
        <v>53</v>
      </c>
      <c r="G71" s="191" t="s">
        <v>1158</v>
      </c>
      <c r="H71" s="175">
        <v>321</v>
      </c>
      <c r="I71" s="175">
        <v>5</v>
      </c>
      <c r="J71" s="175">
        <v>30979</v>
      </c>
      <c r="K71" s="195" t="s">
        <v>209</v>
      </c>
      <c r="L71" s="175">
        <v>16</v>
      </c>
      <c r="M71" s="175">
        <v>5</v>
      </c>
      <c r="N71" s="201"/>
      <c r="O71" s="178" t="s">
        <v>291</v>
      </c>
      <c r="P71" s="175" t="s">
        <v>224</v>
      </c>
      <c r="Q71" s="189" t="s">
        <v>882</v>
      </c>
      <c r="R71" s="199" t="s">
        <v>471</v>
      </c>
      <c r="S71" s="175" t="s">
        <v>877</v>
      </c>
      <c r="T71" s="175">
        <v>2</v>
      </c>
      <c r="U71" s="175"/>
      <c r="V71" s="175" t="s">
        <v>877</v>
      </c>
      <c r="W71" s="171"/>
      <c r="X71" s="180" t="s">
        <v>1271</v>
      </c>
      <c r="Y71" s="180"/>
      <c r="Z71" s="240" t="s">
        <v>1110</v>
      </c>
      <c r="AA71" s="208" t="s">
        <v>1111</v>
      </c>
      <c r="AB71" s="208" t="s">
        <v>1112</v>
      </c>
      <c r="AC71" s="251" t="s">
        <v>1394</v>
      </c>
      <c r="AD71" s="253"/>
    </row>
    <row r="72" spans="1:34" s="2" customFormat="1" ht="38.25" customHeight="1" x14ac:dyDescent="0.2">
      <c r="A72" s="214" t="s">
        <v>39</v>
      </c>
      <c r="B72" s="173" t="s">
        <v>416</v>
      </c>
      <c r="C72" s="167" t="s">
        <v>310</v>
      </c>
      <c r="D72" s="166" t="s">
        <v>347</v>
      </c>
      <c r="E72" s="166" t="s">
        <v>208</v>
      </c>
      <c r="F72" s="177" t="s">
        <v>3</v>
      </c>
      <c r="G72" s="177" t="s">
        <v>253</v>
      </c>
      <c r="H72" s="168">
        <v>264</v>
      </c>
      <c r="I72" s="168">
        <v>2</v>
      </c>
      <c r="J72" s="175">
        <v>46318</v>
      </c>
      <c r="K72" s="194" t="s">
        <v>515</v>
      </c>
      <c r="L72" s="168">
        <v>24</v>
      </c>
      <c r="M72" s="168">
        <v>22</v>
      </c>
      <c r="N72" s="168"/>
      <c r="O72" s="166" t="s">
        <v>211</v>
      </c>
      <c r="P72" s="168" t="s">
        <v>953</v>
      </c>
      <c r="Q72" s="170" t="s">
        <v>860</v>
      </c>
      <c r="R72" s="170" t="s">
        <v>767</v>
      </c>
      <c r="S72" s="168" t="s">
        <v>877</v>
      </c>
      <c r="T72" s="168">
        <v>2</v>
      </c>
      <c r="U72" s="175"/>
      <c r="V72" s="175" t="s">
        <v>877</v>
      </c>
      <c r="W72" s="238"/>
      <c r="X72" s="171"/>
      <c r="Y72" s="180"/>
      <c r="Z72" s="238" t="s">
        <v>981</v>
      </c>
      <c r="AA72" s="208" t="s">
        <v>1074</v>
      </c>
      <c r="AB72" s="208" t="s">
        <v>1159</v>
      </c>
      <c r="AC72" s="249"/>
    </row>
    <row r="73" spans="1:34" s="2" customFormat="1" ht="38.25" customHeight="1" x14ac:dyDescent="0.2">
      <c r="A73" s="215" t="s">
        <v>64</v>
      </c>
      <c r="B73" s="182" t="s">
        <v>416</v>
      </c>
      <c r="C73" s="187" t="s">
        <v>309</v>
      </c>
      <c r="D73" s="178" t="s">
        <v>360</v>
      </c>
      <c r="E73" s="178" t="s">
        <v>208</v>
      </c>
      <c r="F73" s="191" t="s">
        <v>3</v>
      </c>
      <c r="G73" s="191" t="s">
        <v>1054</v>
      </c>
      <c r="H73" s="175">
        <v>324</v>
      </c>
      <c r="I73" s="175">
        <v>2</v>
      </c>
      <c r="J73" s="175">
        <v>45915</v>
      </c>
      <c r="K73" s="195" t="s">
        <v>515</v>
      </c>
      <c r="L73" s="175">
        <v>16</v>
      </c>
      <c r="M73" s="175">
        <v>6</v>
      </c>
      <c r="N73" s="175"/>
      <c r="O73" s="166" t="s">
        <v>211</v>
      </c>
      <c r="P73" s="175" t="s">
        <v>953</v>
      </c>
      <c r="Q73" s="189" t="s">
        <v>1038</v>
      </c>
      <c r="R73" s="187"/>
      <c r="S73" s="175" t="s">
        <v>877</v>
      </c>
      <c r="T73" s="175">
        <v>6</v>
      </c>
      <c r="U73" s="175"/>
      <c r="V73" s="175" t="s">
        <v>877</v>
      </c>
      <c r="W73" s="238"/>
      <c r="X73" s="180"/>
      <c r="Y73" s="202"/>
      <c r="Z73" s="240" t="s">
        <v>1037</v>
      </c>
      <c r="AA73" s="208" t="s">
        <v>896</v>
      </c>
      <c r="AB73" s="208" t="s">
        <v>897</v>
      </c>
      <c r="AC73" s="250" t="s">
        <v>1392</v>
      </c>
    </row>
    <row r="74" spans="1:34" s="2" customFormat="1" ht="38.25" customHeight="1" x14ac:dyDescent="0.2">
      <c r="A74" s="215" t="s">
        <v>40</v>
      </c>
      <c r="B74" s="178" t="s">
        <v>76</v>
      </c>
      <c r="C74" s="187" t="s">
        <v>343</v>
      </c>
      <c r="D74" s="178">
        <v>10</v>
      </c>
      <c r="E74" s="178" t="s">
        <v>208</v>
      </c>
      <c r="F74" s="191" t="s">
        <v>53</v>
      </c>
      <c r="G74" s="191" t="s">
        <v>238</v>
      </c>
      <c r="H74" s="175">
        <v>368</v>
      </c>
      <c r="I74" s="175">
        <v>5</v>
      </c>
      <c r="J74" s="175">
        <v>34643</v>
      </c>
      <c r="K74" s="195" t="s">
        <v>324</v>
      </c>
      <c r="L74" s="175">
        <v>16</v>
      </c>
      <c r="M74" s="175">
        <v>12</v>
      </c>
      <c r="N74" s="175"/>
      <c r="O74" s="178" t="s">
        <v>211</v>
      </c>
      <c r="P74" s="175" t="s">
        <v>224</v>
      </c>
      <c r="Q74" s="189" t="s">
        <v>882</v>
      </c>
      <c r="R74" s="187" t="s">
        <v>470</v>
      </c>
      <c r="S74" s="175" t="s">
        <v>877</v>
      </c>
      <c r="T74" s="175">
        <v>4</v>
      </c>
      <c r="U74" s="175"/>
      <c r="V74" s="175" t="s">
        <v>877</v>
      </c>
      <c r="W74" s="171"/>
      <c r="X74" s="171" t="s">
        <v>1272</v>
      </c>
      <c r="Y74" s="180"/>
      <c r="Z74" s="238" t="s">
        <v>1098</v>
      </c>
      <c r="AA74" s="208" t="s">
        <v>1099</v>
      </c>
      <c r="AB74" s="208" t="s">
        <v>1104</v>
      </c>
      <c r="AC74" s="250" t="s">
        <v>1392</v>
      </c>
    </row>
    <row r="75" spans="1:34" s="2" customFormat="1" ht="38.25" customHeight="1" x14ac:dyDescent="0.2">
      <c r="A75" s="215" t="s">
        <v>41</v>
      </c>
      <c r="B75" s="178" t="s">
        <v>76</v>
      </c>
      <c r="C75" s="187" t="s">
        <v>316</v>
      </c>
      <c r="D75" s="178" t="s">
        <v>345</v>
      </c>
      <c r="E75" s="178" t="s">
        <v>208</v>
      </c>
      <c r="F75" s="191" t="s">
        <v>176</v>
      </c>
      <c r="G75" s="191" t="s">
        <v>235</v>
      </c>
      <c r="H75" s="175">
        <v>280</v>
      </c>
      <c r="I75" s="175">
        <v>2</v>
      </c>
      <c r="J75" s="176">
        <v>33916</v>
      </c>
      <c r="K75" s="194" t="s">
        <v>210</v>
      </c>
      <c r="L75" s="168">
        <v>16</v>
      </c>
      <c r="M75" s="175"/>
      <c r="N75" s="166" t="s">
        <v>408</v>
      </c>
      <c r="O75" s="178" t="s">
        <v>211</v>
      </c>
      <c r="P75" s="175" t="s">
        <v>224</v>
      </c>
      <c r="Q75" s="170" t="s">
        <v>649</v>
      </c>
      <c r="R75" s="167" t="s">
        <v>435</v>
      </c>
      <c r="S75" s="175" t="s">
        <v>877</v>
      </c>
      <c r="T75" s="175"/>
      <c r="U75" s="175"/>
      <c r="V75" s="175" t="s">
        <v>877</v>
      </c>
      <c r="W75" s="180"/>
      <c r="X75" s="180"/>
      <c r="Y75" s="181"/>
      <c r="Z75" s="240" t="s">
        <v>1191</v>
      </c>
      <c r="AA75" s="208" t="s">
        <v>1189</v>
      </c>
      <c r="AB75" s="208" t="s">
        <v>1190</v>
      </c>
      <c r="AC75" s="250" t="s">
        <v>1392</v>
      </c>
    </row>
    <row r="76" spans="1:34" s="2" customFormat="1" ht="38.25" customHeight="1" x14ac:dyDescent="0.2">
      <c r="A76" s="215" t="s">
        <v>42</v>
      </c>
      <c r="B76" s="178" t="s">
        <v>76</v>
      </c>
      <c r="C76" s="187" t="s">
        <v>336</v>
      </c>
      <c r="D76" s="178" t="s">
        <v>345</v>
      </c>
      <c r="E76" s="178" t="s">
        <v>208</v>
      </c>
      <c r="F76" s="191" t="s">
        <v>176</v>
      </c>
      <c r="G76" s="191" t="s">
        <v>1166</v>
      </c>
      <c r="H76" s="175">
        <v>279</v>
      </c>
      <c r="I76" s="175">
        <v>2</v>
      </c>
      <c r="J76" s="175">
        <v>34644</v>
      </c>
      <c r="K76" s="195" t="s">
        <v>201</v>
      </c>
      <c r="L76" s="175">
        <v>16</v>
      </c>
      <c r="M76" s="175">
        <v>2</v>
      </c>
      <c r="N76" s="175"/>
      <c r="O76" s="178" t="s">
        <v>211</v>
      </c>
      <c r="P76" s="175" t="s">
        <v>224</v>
      </c>
      <c r="Q76" s="189" t="s">
        <v>860</v>
      </c>
      <c r="R76" s="187" t="s">
        <v>474</v>
      </c>
      <c r="S76" s="175" t="s">
        <v>877</v>
      </c>
      <c r="T76" s="175">
        <v>2</v>
      </c>
      <c r="U76" s="197"/>
      <c r="V76" s="175" t="s">
        <v>877</v>
      </c>
      <c r="W76" s="180"/>
      <c r="X76" s="180"/>
      <c r="Y76" s="181"/>
      <c r="Z76" s="240" t="s">
        <v>996</v>
      </c>
      <c r="AA76" s="208" t="s">
        <v>929</v>
      </c>
      <c r="AB76" s="208" t="s">
        <v>930</v>
      </c>
      <c r="AC76" s="250" t="s">
        <v>1392</v>
      </c>
    </row>
    <row r="77" spans="1:34" s="2" customFormat="1" ht="38.25" customHeight="1" x14ac:dyDescent="0.2">
      <c r="A77" s="215" t="s">
        <v>43</v>
      </c>
      <c r="B77" s="182" t="s">
        <v>416</v>
      </c>
      <c r="C77" s="187" t="s">
        <v>1416</v>
      </c>
      <c r="D77" s="178">
        <v>40</v>
      </c>
      <c r="E77" s="178" t="s">
        <v>208</v>
      </c>
      <c r="F77" s="191" t="s">
        <v>3</v>
      </c>
      <c r="G77" s="191" t="s">
        <v>448</v>
      </c>
      <c r="H77" s="175">
        <v>284</v>
      </c>
      <c r="I77" s="175">
        <v>2</v>
      </c>
      <c r="J77" s="175">
        <v>46945</v>
      </c>
      <c r="K77" s="195" t="s">
        <v>515</v>
      </c>
      <c r="L77" s="175">
        <v>8</v>
      </c>
      <c r="M77" s="175">
        <v>0</v>
      </c>
      <c r="N77" s="198"/>
      <c r="O77" s="175" t="s">
        <v>211</v>
      </c>
      <c r="P77" s="175" t="s">
        <v>953</v>
      </c>
      <c r="Q77" s="189" t="s">
        <v>860</v>
      </c>
      <c r="R77" s="187" t="s">
        <v>470</v>
      </c>
      <c r="S77" s="175" t="s">
        <v>877</v>
      </c>
      <c r="T77" s="175"/>
      <c r="U77" s="175"/>
      <c r="V77" s="175" t="s">
        <v>877</v>
      </c>
      <c r="W77" s="238"/>
      <c r="X77" s="180" t="s">
        <v>1273</v>
      </c>
      <c r="Y77" s="226"/>
      <c r="Z77" s="241" t="s">
        <v>1439</v>
      </c>
      <c r="AA77" s="208" t="s">
        <v>1048</v>
      </c>
      <c r="AB77" s="208" t="s">
        <v>1159</v>
      </c>
      <c r="AC77" s="251" t="s">
        <v>1403</v>
      </c>
    </row>
    <row r="78" spans="1:34" s="2" customFormat="1" ht="38.25" customHeight="1" x14ac:dyDescent="0.2">
      <c r="A78" s="214" t="s">
        <v>44</v>
      </c>
      <c r="B78" s="166" t="s">
        <v>76</v>
      </c>
      <c r="C78" s="167" t="s">
        <v>382</v>
      </c>
      <c r="D78" s="178">
        <v>40</v>
      </c>
      <c r="E78" s="178" t="s">
        <v>208</v>
      </c>
      <c r="F78" s="191" t="s">
        <v>3</v>
      </c>
      <c r="G78" s="191" t="s">
        <v>1122</v>
      </c>
      <c r="H78" s="175">
        <v>283</v>
      </c>
      <c r="I78" s="175">
        <v>2</v>
      </c>
      <c r="J78" s="175">
        <v>36267</v>
      </c>
      <c r="K78" s="195" t="s">
        <v>210</v>
      </c>
      <c r="L78" s="168">
        <v>8</v>
      </c>
      <c r="M78" s="168">
        <v>0</v>
      </c>
      <c r="N78" s="168" t="s">
        <v>359</v>
      </c>
      <c r="O78" s="168" t="s">
        <v>212</v>
      </c>
      <c r="P78" s="168" t="s">
        <v>224</v>
      </c>
      <c r="Q78" s="170" t="s">
        <v>860</v>
      </c>
      <c r="R78" s="167" t="s">
        <v>474</v>
      </c>
      <c r="S78" s="168" t="s">
        <v>877</v>
      </c>
      <c r="T78" s="168">
        <v>13</v>
      </c>
      <c r="U78" s="168"/>
      <c r="V78" s="175" t="s">
        <v>877</v>
      </c>
      <c r="W78" s="171"/>
      <c r="X78" s="168"/>
      <c r="Y78" s="181"/>
      <c r="Z78" s="238" t="s">
        <v>1059</v>
      </c>
      <c r="AA78" s="208" t="s">
        <v>1105</v>
      </c>
      <c r="AB78" s="212" t="s">
        <v>1106</v>
      </c>
      <c r="AC78" s="250" t="s">
        <v>1392</v>
      </c>
    </row>
    <row r="79" spans="1:34" s="2" customFormat="1" ht="38.25" customHeight="1" x14ac:dyDescent="0.2">
      <c r="A79" s="215" t="s">
        <v>46</v>
      </c>
      <c r="B79" s="178" t="s">
        <v>76</v>
      </c>
      <c r="C79" s="187" t="s">
        <v>304</v>
      </c>
      <c r="D79" s="178">
        <v>30</v>
      </c>
      <c r="E79" s="178" t="s">
        <v>208</v>
      </c>
      <c r="F79" s="191" t="s">
        <v>3</v>
      </c>
      <c r="G79" s="191" t="s">
        <v>971</v>
      </c>
      <c r="H79" s="175">
        <v>288</v>
      </c>
      <c r="I79" s="175">
        <v>1</v>
      </c>
      <c r="J79" s="175">
        <v>33980</v>
      </c>
      <c r="K79" s="195" t="s">
        <v>326</v>
      </c>
      <c r="L79" s="175">
        <v>16</v>
      </c>
      <c r="M79" s="175">
        <v>0</v>
      </c>
      <c r="N79" s="175" t="s">
        <v>213</v>
      </c>
      <c r="O79" s="178" t="s">
        <v>211</v>
      </c>
      <c r="P79" s="175" t="s">
        <v>224</v>
      </c>
      <c r="Q79" s="189" t="s">
        <v>860</v>
      </c>
      <c r="R79" s="189" t="s">
        <v>767</v>
      </c>
      <c r="S79" s="175" t="s">
        <v>877</v>
      </c>
      <c r="T79" s="175">
        <v>24</v>
      </c>
      <c r="U79" s="175"/>
      <c r="V79" s="175" t="s">
        <v>877</v>
      </c>
      <c r="W79" s="171"/>
      <c r="X79" s="180"/>
      <c r="Y79" s="202"/>
      <c r="Z79" s="238" t="s">
        <v>997</v>
      </c>
      <c r="AA79" s="208" t="s">
        <v>1180</v>
      </c>
      <c r="AB79" s="212" t="s">
        <v>1181</v>
      </c>
      <c r="AC79" s="250" t="s">
        <v>1392</v>
      </c>
    </row>
    <row r="80" spans="1:34" s="2" customFormat="1" ht="38.25" customHeight="1" x14ac:dyDescent="0.2">
      <c r="A80" s="215" t="s">
        <v>45</v>
      </c>
      <c r="B80" s="178" t="s">
        <v>76</v>
      </c>
      <c r="C80" s="187" t="s">
        <v>333</v>
      </c>
      <c r="D80" s="178">
        <v>40</v>
      </c>
      <c r="E80" s="178" t="s">
        <v>208</v>
      </c>
      <c r="F80" s="191" t="s">
        <v>3</v>
      </c>
      <c r="G80" s="191" t="s">
        <v>631</v>
      </c>
      <c r="H80" s="175">
        <v>290</v>
      </c>
      <c r="I80" s="175">
        <v>1</v>
      </c>
      <c r="J80" s="175">
        <v>28574</v>
      </c>
      <c r="K80" s="195" t="s">
        <v>326</v>
      </c>
      <c r="L80" s="175">
        <v>16</v>
      </c>
      <c r="M80" s="175">
        <v>2</v>
      </c>
      <c r="N80" s="175"/>
      <c r="O80" s="178" t="s">
        <v>211</v>
      </c>
      <c r="P80" s="175" t="s">
        <v>224</v>
      </c>
      <c r="Q80" s="189" t="s">
        <v>860</v>
      </c>
      <c r="R80" s="187" t="s">
        <v>435</v>
      </c>
      <c r="S80" s="175" t="s">
        <v>877</v>
      </c>
      <c r="T80" s="175">
        <v>22</v>
      </c>
      <c r="U80" s="175"/>
      <c r="V80" s="175" t="s">
        <v>877</v>
      </c>
      <c r="W80" s="180"/>
      <c r="X80" s="180"/>
      <c r="Y80" s="202"/>
      <c r="Z80" s="240" t="s">
        <v>998</v>
      </c>
      <c r="AA80" s="208" t="s">
        <v>1182</v>
      </c>
      <c r="AB80" s="208" t="s">
        <v>1183</v>
      </c>
      <c r="AC80" s="250" t="s">
        <v>1392</v>
      </c>
    </row>
    <row r="81" spans="1:30" s="2" customFormat="1" ht="38.25" customHeight="1" x14ac:dyDescent="0.2">
      <c r="A81" s="214" t="s">
        <v>47</v>
      </c>
      <c r="B81" s="173" t="s">
        <v>416</v>
      </c>
      <c r="C81" s="167" t="s">
        <v>335</v>
      </c>
      <c r="D81" s="178">
        <v>40</v>
      </c>
      <c r="E81" s="178" t="s">
        <v>208</v>
      </c>
      <c r="F81" s="177" t="s">
        <v>3</v>
      </c>
      <c r="G81" s="177" t="s">
        <v>257</v>
      </c>
      <c r="H81" s="168">
        <v>287</v>
      </c>
      <c r="I81" s="175">
        <v>2</v>
      </c>
      <c r="J81" s="175">
        <v>47098</v>
      </c>
      <c r="K81" s="195" t="s">
        <v>634</v>
      </c>
      <c r="L81" s="175">
        <v>4</v>
      </c>
      <c r="M81" s="175">
        <v>0</v>
      </c>
      <c r="N81" s="175" t="s">
        <v>329</v>
      </c>
      <c r="O81" s="175" t="s">
        <v>211</v>
      </c>
      <c r="P81" s="168" t="s">
        <v>953</v>
      </c>
      <c r="Q81" s="170" t="s">
        <v>860</v>
      </c>
      <c r="R81" s="169" t="s">
        <v>527</v>
      </c>
      <c r="S81" s="175" t="s">
        <v>877</v>
      </c>
      <c r="T81" s="175">
        <v>19</v>
      </c>
      <c r="U81" s="175"/>
      <c r="V81" s="175" t="s">
        <v>877</v>
      </c>
      <c r="W81" s="238"/>
      <c r="X81" s="171"/>
      <c r="Y81" s="171"/>
      <c r="Z81" s="238" t="s">
        <v>999</v>
      </c>
      <c r="AA81" s="208" t="s">
        <v>902</v>
      </c>
      <c r="AB81" s="208" t="s">
        <v>903</v>
      </c>
      <c r="AC81" s="250" t="s">
        <v>1392</v>
      </c>
    </row>
    <row r="82" spans="1:30" s="2" customFormat="1" ht="38.25" customHeight="1" x14ac:dyDescent="0.2">
      <c r="A82" s="215" t="s">
        <v>48</v>
      </c>
      <c r="B82" s="178" t="s">
        <v>76</v>
      </c>
      <c r="C82" s="187" t="s">
        <v>335</v>
      </c>
      <c r="D82" s="178">
        <v>180</v>
      </c>
      <c r="E82" s="178" t="s">
        <v>208</v>
      </c>
      <c r="F82" s="191" t="s">
        <v>3</v>
      </c>
      <c r="G82" s="191" t="s">
        <v>646</v>
      </c>
      <c r="H82" s="175">
        <v>292</v>
      </c>
      <c r="I82" s="175">
        <v>2</v>
      </c>
      <c r="J82" s="175">
        <v>36268</v>
      </c>
      <c r="K82" s="195" t="s">
        <v>326</v>
      </c>
      <c r="L82" s="175">
        <v>0</v>
      </c>
      <c r="M82" s="175">
        <v>0</v>
      </c>
      <c r="N82" s="175" t="s">
        <v>213</v>
      </c>
      <c r="O82" s="178" t="s">
        <v>211</v>
      </c>
      <c r="P82" s="175" t="s">
        <v>224</v>
      </c>
      <c r="Q82" s="189" t="s">
        <v>860</v>
      </c>
      <c r="R82" s="187" t="s">
        <v>470</v>
      </c>
      <c r="S82" s="175" t="s">
        <v>877</v>
      </c>
      <c r="T82" s="175">
        <v>18</v>
      </c>
      <c r="U82" s="175"/>
      <c r="V82" s="175" t="s">
        <v>877</v>
      </c>
      <c r="W82" s="171"/>
      <c r="X82" s="180"/>
      <c r="Y82" s="180"/>
      <c r="Z82" s="240" t="s">
        <v>1424</v>
      </c>
      <c r="AA82" s="208" t="s">
        <v>941</v>
      </c>
      <c r="AB82" s="208" t="s">
        <v>942</v>
      </c>
      <c r="AC82" s="251" t="s">
        <v>1394</v>
      </c>
      <c r="AD82" s="253"/>
    </row>
    <row r="83" spans="1:30" s="2" customFormat="1" ht="38.25" customHeight="1" x14ac:dyDescent="0.2">
      <c r="A83" s="214" t="s">
        <v>49</v>
      </c>
      <c r="B83" s="166" t="s">
        <v>76</v>
      </c>
      <c r="C83" s="167" t="s">
        <v>304</v>
      </c>
      <c r="D83" s="166" t="s">
        <v>398</v>
      </c>
      <c r="E83" s="166" t="s">
        <v>208</v>
      </c>
      <c r="F83" s="177" t="s">
        <v>3</v>
      </c>
      <c r="G83" s="177" t="s">
        <v>415</v>
      </c>
      <c r="H83" s="168">
        <v>9</v>
      </c>
      <c r="I83" s="168">
        <v>2</v>
      </c>
      <c r="J83" s="175">
        <v>37340</v>
      </c>
      <c r="K83" s="194" t="s">
        <v>327</v>
      </c>
      <c r="L83" s="168">
        <v>0</v>
      </c>
      <c r="M83" s="168">
        <v>0</v>
      </c>
      <c r="N83" s="168" t="s">
        <v>213</v>
      </c>
      <c r="O83" s="166" t="s">
        <v>211</v>
      </c>
      <c r="P83" s="168" t="s">
        <v>224</v>
      </c>
      <c r="Q83" s="170" t="s">
        <v>860</v>
      </c>
      <c r="R83" s="167" t="s">
        <v>435</v>
      </c>
      <c r="S83" s="175" t="s">
        <v>877</v>
      </c>
      <c r="T83" s="168">
        <v>15</v>
      </c>
      <c r="U83" s="175"/>
      <c r="V83" s="175" t="s">
        <v>877</v>
      </c>
      <c r="W83" s="171"/>
      <c r="X83" s="171" t="s">
        <v>1230</v>
      </c>
      <c r="Y83" s="180"/>
      <c r="Z83" s="238" t="s">
        <v>1380</v>
      </c>
      <c r="AA83" s="208"/>
      <c r="AB83" s="208"/>
      <c r="AC83" s="251" t="s">
        <v>1395</v>
      </c>
      <c r="AD83" s="252"/>
    </row>
    <row r="84" spans="1:30" s="2" customFormat="1" ht="37.5" customHeight="1" x14ac:dyDescent="0.2">
      <c r="A84" s="215" t="s">
        <v>50</v>
      </c>
      <c r="B84" s="182" t="s">
        <v>416</v>
      </c>
      <c r="C84" s="167" t="s">
        <v>304</v>
      </c>
      <c r="D84" s="178">
        <v>190</v>
      </c>
      <c r="E84" s="178" t="s">
        <v>208</v>
      </c>
      <c r="F84" s="191" t="s">
        <v>3</v>
      </c>
      <c r="G84" s="191" t="s">
        <v>541</v>
      </c>
      <c r="H84" s="175">
        <v>296</v>
      </c>
      <c r="I84" s="175">
        <v>1</v>
      </c>
      <c r="J84" s="175">
        <v>47376</v>
      </c>
      <c r="K84" s="195" t="s">
        <v>515</v>
      </c>
      <c r="L84" s="175">
        <v>16</v>
      </c>
      <c r="M84" s="175">
        <v>0</v>
      </c>
      <c r="N84" s="175"/>
      <c r="O84" s="178" t="s">
        <v>212</v>
      </c>
      <c r="P84" s="175" t="s">
        <v>964</v>
      </c>
      <c r="Q84" s="189" t="s">
        <v>860</v>
      </c>
      <c r="R84" s="189" t="s">
        <v>767</v>
      </c>
      <c r="S84" s="175" t="s">
        <v>877</v>
      </c>
      <c r="T84" s="175">
        <v>35</v>
      </c>
      <c r="U84" s="175"/>
      <c r="V84" s="175" t="s">
        <v>877</v>
      </c>
      <c r="W84" s="238"/>
      <c r="X84" s="180" t="s">
        <v>1274</v>
      </c>
      <c r="Y84" s="204"/>
      <c r="Z84" s="240" t="s">
        <v>1036</v>
      </c>
      <c r="AA84" s="208" t="s">
        <v>913</v>
      </c>
      <c r="AB84" s="208" t="s">
        <v>914</v>
      </c>
      <c r="AC84" s="250" t="s">
        <v>1392</v>
      </c>
    </row>
    <row r="85" spans="1:30" s="2" customFormat="1" ht="37.5" customHeight="1" x14ac:dyDescent="0.2">
      <c r="A85" s="214" t="s">
        <v>51</v>
      </c>
      <c r="B85" s="178" t="s">
        <v>76</v>
      </c>
      <c r="C85" s="167" t="s">
        <v>387</v>
      </c>
      <c r="D85" s="166">
        <v>190</v>
      </c>
      <c r="E85" s="166" t="s">
        <v>208</v>
      </c>
      <c r="F85" s="177" t="s">
        <v>3</v>
      </c>
      <c r="G85" s="177" t="s">
        <v>1173</v>
      </c>
      <c r="H85" s="168">
        <v>299</v>
      </c>
      <c r="I85" s="168">
        <v>1</v>
      </c>
      <c r="J85" s="175">
        <v>29836</v>
      </c>
      <c r="K85" s="195" t="s">
        <v>209</v>
      </c>
      <c r="L85" s="168">
        <v>16</v>
      </c>
      <c r="M85" s="168">
        <v>2</v>
      </c>
      <c r="N85" s="168" t="s">
        <v>213</v>
      </c>
      <c r="O85" s="168" t="s">
        <v>211</v>
      </c>
      <c r="P85" s="168" t="s">
        <v>224</v>
      </c>
      <c r="Q85" s="170" t="s">
        <v>869</v>
      </c>
      <c r="R85" s="167" t="s">
        <v>470</v>
      </c>
      <c r="S85" s="175" t="s">
        <v>877</v>
      </c>
      <c r="T85" s="168">
        <v>19</v>
      </c>
      <c r="U85" s="175"/>
      <c r="V85" s="175" t="s">
        <v>877</v>
      </c>
      <c r="W85" s="171"/>
      <c r="X85" s="171" t="s">
        <v>1275</v>
      </c>
      <c r="Y85" s="228"/>
      <c r="Z85" s="238" t="s">
        <v>1000</v>
      </c>
      <c r="AA85" s="208" t="s">
        <v>960</v>
      </c>
      <c r="AB85" s="208" t="s">
        <v>961</v>
      </c>
      <c r="AC85" s="250" t="s">
        <v>1392</v>
      </c>
    </row>
    <row r="86" spans="1:30" s="2" customFormat="1" ht="37.5" customHeight="1" x14ac:dyDescent="0.2">
      <c r="A86" s="215" t="s">
        <v>52</v>
      </c>
      <c r="B86" s="178" t="s">
        <v>76</v>
      </c>
      <c r="C86" s="187" t="s">
        <v>388</v>
      </c>
      <c r="D86" s="178">
        <v>190</v>
      </c>
      <c r="E86" s="178" t="s">
        <v>208</v>
      </c>
      <c r="F86" s="191" t="s">
        <v>3</v>
      </c>
      <c r="G86" s="191" t="s">
        <v>1173</v>
      </c>
      <c r="H86" s="175">
        <v>300</v>
      </c>
      <c r="I86" s="175">
        <v>1</v>
      </c>
      <c r="J86" s="175">
        <v>36104</v>
      </c>
      <c r="K86" s="195" t="s">
        <v>210</v>
      </c>
      <c r="L86" s="175">
        <v>16</v>
      </c>
      <c r="M86" s="175">
        <v>3</v>
      </c>
      <c r="N86" s="175" t="s">
        <v>213</v>
      </c>
      <c r="O86" s="178" t="s">
        <v>211</v>
      </c>
      <c r="P86" s="175" t="s">
        <v>224</v>
      </c>
      <c r="Q86" s="189" t="s">
        <v>860</v>
      </c>
      <c r="R86" s="187" t="s">
        <v>435</v>
      </c>
      <c r="S86" s="175" t="s">
        <v>877</v>
      </c>
      <c r="T86" s="175">
        <v>10</v>
      </c>
      <c r="U86" s="175"/>
      <c r="V86" s="175" t="s">
        <v>877</v>
      </c>
      <c r="W86" s="171"/>
      <c r="X86" s="180"/>
      <c r="Y86" s="180"/>
      <c r="Z86" s="240" t="s">
        <v>1001</v>
      </c>
      <c r="AA86" s="208" t="s">
        <v>958</v>
      </c>
      <c r="AB86" s="208" t="s">
        <v>959</v>
      </c>
      <c r="AC86" s="250" t="s">
        <v>1392</v>
      </c>
    </row>
    <row r="87" spans="1:30" s="2" customFormat="1" ht="37.5" customHeight="1" x14ac:dyDescent="0.2">
      <c r="A87" s="214" t="s">
        <v>66</v>
      </c>
      <c r="B87" s="166" t="s">
        <v>76</v>
      </c>
      <c r="C87" s="167" t="s">
        <v>333</v>
      </c>
      <c r="D87" s="166">
        <v>65</v>
      </c>
      <c r="E87" s="166" t="s">
        <v>208</v>
      </c>
      <c r="F87" s="177" t="s">
        <v>3</v>
      </c>
      <c r="G87" s="177" t="s">
        <v>56</v>
      </c>
      <c r="H87" s="168">
        <v>350</v>
      </c>
      <c r="I87" s="168">
        <v>1</v>
      </c>
      <c r="J87" s="175">
        <v>28587</v>
      </c>
      <c r="K87" s="194" t="s">
        <v>326</v>
      </c>
      <c r="L87" s="168">
        <v>16</v>
      </c>
      <c r="M87" s="168">
        <v>11</v>
      </c>
      <c r="N87" s="168"/>
      <c r="O87" s="166" t="s">
        <v>211</v>
      </c>
      <c r="P87" s="168" t="s">
        <v>224</v>
      </c>
      <c r="Q87" s="170" t="s">
        <v>860</v>
      </c>
      <c r="R87" s="167" t="s">
        <v>435</v>
      </c>
      <c r="S87" s="168" t="s">
        <v>877</v>
      </c>
      <c r="T87" s="168">
        <v>3</v>
      </c>
      <c r="U87" s="168"/>
      <c r="V87" s="175" t="s">
        <v>877</v>
      </c>
      <c r="W87" s="171"/>
      <c r="X87" s="171" t="s">
        <v>1276</v>
      </c>
      <c r="Y87" s="202"/>
      <c r="Z87" s="238" t="s">
        <v>1002</v>
      </c>
      <c r="AA87" s="208" t="s">
        <v>1184</v>
      </c>
      <c r="AB87" s="208" t="s">
        <v>1185</v>
      </c>
      <c r="AC87" s="251" t="s">
        <v>1394</v>
      </c>
      <c r="AD87" s="253"/>
    </row>
    <row r="88" spans="1:30" s="2" customFormat="1" ht="38.25" customHeight="1" x14ac:dyDescent="0.2">
      <c r="A88" s="214" t="s">
        <v>67</v>
      </c>
      <c r="B88" s="166" t="s">
        <v>76</v>
      </c>
      <c r="C88" s="167" t="s">
        <v>303</v>
      </c>
      <c r="D88" s="166" t="s">
        <v>195</v>
      </c>
      <c r="E88" s="166" t="s">
        <v>208</v>
      </c>
      <c r="F88" s="177" t="s">
        <v>3</v>
      </c>
      <c r="G88" s="177" t="s">
        <v>1149</v>
      </c>
      <c r="H88" s="168">
        <v>352</v>
      </c>
      <c r="I88" s="168">
        <v>2</v>
      </c>
      <c r="J88" s="191">
        <v>33981</v>
      </c>
      <c r="K88" s="194" t="s">
        <v>202</v>
      </c>
      <c r="L88" s="168">
        <v>16</v>
      </c>
      <c r="M88" s="168">
        <v>13</v>
      </c>
      <c r="N88" s="166"/>
      <c r="O88" s="166" t="s">
        <v>211</v>
      </c>
      <c r="P88" s="168" t="s">
        <v>224</v>
      </c>
      <c r="Q88" s="170" t="s">
        <v>860</v>
      </c>
      <c r="R88" s="167" t="s">
        <v>881</v>
      </c>
      <c r="S88" s="175" t="s">
        <v>877</v>
      </c>
      <c r="T88" s="168"/>
      <c r="U88" s="168"/>
      <c r="V88" s="175" t="s">
        <v>877</v>
      </c>
      <c r="W88" s="171"/>
      <c r="X88" s="171"/>
      <c r="Y88" s="179"/>
      <c r="Z88" s="238" t="s">
        <v>1373</v>
      </c>
      <c r="AA88" s="186"/>
      <c r="AB88" s="200"/>
      <c r="AC88" s="250" t="s">
        <v>1392</v>
      </c>
    </row>
    <row r="89" spans="1:30" s="26" customFormat="1" ht="37.5" customHeight="1" x14ac:dyDescent="0.2">
      <c r="A89" s="215" t="s">
        <v>68</v>
      </c>
      <c r="B89" s="178" t="s">
        <v>76</v>
      </c>
      <c r="C89" s="187" t="s">
        <v>306</v>
      </c>
      <c r="D89" s="178" t="s">
        <v>195</v>
      </c>
      <c r="E89" s="178" t="s">
        <v>208</v>
      </c>
      <c r="F89" s="191" t="s">
        <v>3</v>
      </c>
      <c r="G89" s="191" t="s">
        <v>1122</v>
      </c>
      <c r="H89" s="191">
        <v>351</v>
      </c>
      <c r="I89" s="175">
        <v>2</v>
      </c>
      <c r="J89" s="175">
        <v>35276</v>
      </c>
      <c r="K89" s="195" t="s">
        <v>201</v>
      </c>
      <c r="L89" s="175">
        <v>24</v>
      </c>
      <c r="M89" s="175">
        <v>18</v>
      </c>
      <c r="N89" s="175" t="s">
        <v>213</v>
      </c>
      <c r="O89" s="175" t="s">
        <v>211</v>
      </c>
      <c r="P89" s="175" t="s">
        <v>224</v>
      </c>
      <c r="Q89" s="189" t="s">
        <v>860</v>
      </c>
      <c r="R89" s="189" t="s">
        <v>767</v>
      </c>
      <c r="S89" s="175" t="s">
        <v>877</v>
      </c>
      <c r="T89" s="175">
        <v>5</v>
      </c>
      <c r="U89" s="175"/>
      <c r="V89" s="175" t="s">
        <v>877</v>
      </c>
      <c r="W89" s="180"/>
      <c r="X89" s="180"/>
      <c r="Y89" s="186" t="s">
        <v>1347</v>
      </c>
      <c r="Z89" s="240" t="s">
        <v>1425</v>
      </c>
      <c r="AA89" s="208" t="s">
        <v>888</v>
      </c>
      <c r="AB89" s="208" t="s">
        <v>889</v>
      </c>
      <c r="AC89" s="258"/>
      <c r="AD89" s="209"/>
    </row>
    <row r="90" spans="1:30" s="2" customFormat="1" ht="38.25" customHeight="1" x14ac:dyDescent="0.2">
      <c r="A90" s="215" t="s">
        <v>78</v>
      </c>
      <c r="B90" s="182" t="s">
        <v>416</v>
      </c>
      <c r="C90" s="187" t="s">
        <v>400</v>
      </c>
      <c r="D90" s="178">
        <v>80</v>
      </c>
      <c r="E90" s="178" t="s">
        <v>208</v>
      </c>
      <c r="F90" s="191" t="s">
        <v>3</v>
      </c>
      <c r="G90" s="191" t="s">
        <v>269</v>
      </c>
      <c r="H90" s="191">
        <v>355</v>
      </c>
      <c r="I90" s="180">
        <v>1</v>
      </c>
      <c r="J90" s="175">
        <v>46477</v>
      </c>
      <c r="K90" s="195" t="s">
        <v>515</v>
      </c>
      <c r="L90" s="175">
        <v>8</v>
      </c>
      <c r="M90" s="175">
        <v>6</v>
      </c>
      <c r="N90" s="175"/>
      <c r="O90" s="178" t="s">
        <v>212</v>
      </c>
      <c r="P90" s="175" t="s">
        <v>953</v>
      </c>
      <c r="Q90" s="189" t="s">
        <v>860</v>
      </c>
      <c r="R90" s="199"/>
      <c r="S90" s="175" t="s">
        <v>877</v>
      </c>
      <c r="T90" s="175">
        <v>66</v>
      </c>
      <c r="U90" s="175"/>
      <c r="V90" s="175" t="s">
        <v>877</v>
      </c>
      <c r="W90" s="238"/>
      <c r="X90" s="180"/>
      <c r="Y90" s="171"/>
      <c r="Z90" s="240" t="s">
        <v>1129</v>
      </c>
      <c r="AA90" s="208" t="s">
        <v>1130</v>
      </c>
      <c r="AB90" s="211" t="s">
        <v>1175</v>
      </c>
      <c r="AC90" s="250" t="s">
        <v>1392</v>
      </c>
    </row>
    <row r="91" spans="1:30" s="26" customFormat="1" ht="37.5" customHeight="1" x14ac:dyDescent="0.2">
      <c r="A91" s="215" t="s">
        <v>69</v>
      </c>
      <c r="B91" s="178" t="s">
        <v>76</v>
      </c>
      <c r="C91" s="187" t="s">
        <v>389</v>
      </c>
      <c r="D91" s="178">
        <v>180</v>
      </c>
      <c r="E91" s="178" t="s">
        <v>208</v>
      </c>
      <c r="F91" s="191" t="s">
        <v>176</v>
      </c>
      <c r="G91" s="191" t="s">
        <v>150</v>
      </c>
      <c r="H91" s="175">
        <v>293</v>
      </c>
      <c r="I91" s="175">
        <v>1</v>
      </c>
      <c r="J91" s="191">
        <v>37343</v>
      </c>
      <c r="K91" s="195" t="s">
        <v>210</v>
      </c>
      <c r="L91" s="175">
        <v>0</v>
      </c>
      <c r="M91" s="175">
        <v>0</v>
      </c>
      <c r="N91" s="175" t="s">
        <v>359</v>
      </c>
      <c r="O91" s="175" t="s">
        <v>211</v>
      </c>
      <c r="P91" s="175" t="s">
        <v>224</v>
      </c>
      <c r="Q91" s="189" t="s">
        <v>860</v>
      </c>
      <c r="R91" s="189" t="s">
        <v>879</v>
      </c>
      <c r="S91" s="175" t="s">
        <v>877</v>
      </c>
      <c r="T91" s="175">
        <v>22</v>
      </c>
      <c r="U91" s="175"/>
      <c r="V91" s="175" t="s">
        <v>877</v>
      </c>
      <c r="W91" s="171"/>
      <c r="X91" s="180"/>
      <c r="Y91" s="179" t="s">
        <v>1148</v>
      </c>
      <c r="Z91" s="208" t="s">
        <v>1350</v>
      </c>
      <c r="AA91" s="208"/>
      <c r="AB91" s="208"/>
      <c r="AC91" s="250" t="s">
        <v>1392</v>
      </c>
    </row>
    <row r="92" spans="1:30" s="26" customFormat="1" ht="37.5" customHeight="1" x14ac:dyDescent="0.2">
      <c r="A92" s="215" t="s">
        <v>71</v>
      </c>
      <c r="B92" s="178" t="s">
        <v>76</v>
      </c>
      <c r="C92" s="187" t="s">
        <v>399</v>
      </c>
      <c r="D92" s="178">
        <v>110</v>
      </c>
      <c r="E92" s="178" t="s">
        <v>208</v>
      </c>
      <c r="F92" s="191" t="s">
        <v>3</v>
      </c>
      <c r="G92" s="191" t="s">
        <v>260</v>
      </c>
      <c r="H92" s="175">
        <v>313</v>
      </c>
      <c r="I92" s="175">
        <v>5</v>
      </c>
      <c r="J92" s="175">
        <v>29672</v>
      </c>
      <c r="K92" s="195" t="s">
        <v>210</v>
      </c>
      <c r="L92" s="175">
        <v>16</v>
      </c>
      <c r="M92" s="175">
        <v>7</v>
      </c>
      <c r="N92" s="175"/>
      <c r="O92" s="178" t="s">
        <v>211</v>
      </c>
      <c r="P92" s="175" t="s">
        <v>224</v>
      </c>
      <c r="Q92" s="189" t="s">
        <v>860</v>
      </c>
      <c r="R92" s="199" t="s">
        <v>465</v>
      </c>
      <c r="S92" s="175" t="s">
        <v>877</v>
      </c>
      <c r="T92" s="175">
        <v>3</v>
      </c>
      <c r="U92" s="175"/>
      <c r="V92" s="175" t="s">
        <v>877</v>
      </c>
      <c r="W92" s="171"/>
      <c r="X92" s="180"/>
      <c r="Y92" s="171"/>
      <c r="Z92" s="240" t="s">
        <v>1005</v>
      </c>
      <c r="AA92" s="208" t="s">
        <v>977</v>
      </c>
      <c r="AB92" s="208" t="s">
        <v>978</v>
      </c>
      <c r="AC92" s="250" t="s">
        <v>1392</v>
      </c>
    </row>
    <row r="93" spans="1:30" s="26" customFormat="1" ht="37.5" customHeight="1" x14ac:dyDescent="0.2">
      <c r="A93" s="215" t="s">
        <v>72</v>
      </c>
      <c r="B93" s="166" t="s">
        <v>76</v>
      </c>
      <c r="C93" s="167" t="s">
        <v>340</v>
      </c>
      <c r="D93" s="166" t="s">
        <v>195</v>
      </c>
      <c r="E93" s="166" t="s">
        <v>208</v>
      </c>
      <c r="F93" s="168" t="s">
        <v>3</v>
      </c>
      <c r="G93" s="168" t="s">
        <v>1150</v>
      </c>
      <c r="H93" s="168">
        <v>358</v>
      </c>
      <c r="I93" s="168">
        <v>2</v>
      </c>
      <c r="J93" s="175">
        <v>34774</v>
      </c>
      <c r="K93" s="194" t="s">
        <v>323</v>
      </c>
      <c r="L93" s="168">
        <v>16</v>
      </c>
      <c r="M93" s="168">
        <v>7</v>
      </c>
      <c r="N93" s="168"/>
      <c r="O93" s="166" t="s">
        <v>211</v>
      </c>
      <c r="P93" s="168" t="s">
        <v>224</v>
      </c>
      <c r="Q93" s="170" t="s">
        <v>860</v>
      </c>
      <c r="R93" s="170" t="s">
        <v>767</v>
      </c>
      <c r="S93" s="175" t="s">
        <v>877</v>
      </c>
      <c r="T93" s="168">
        <v>3</v>
      </c>
      <c r="U93" s="175"/>
      <c r="V93" s="175" t="s">
        <v>877</v>
      </c>
      <c r="W93" s="171"/>
      <c r="X93" s="171"/>
      <c r="Y93" s="171"/>
      <c r="Z93" s="238" t="s">
        <v>1426</v>
      </c>
      <c r="AA93" s="208"/>
      <c r="AB93" s="208"/>
      <c r="AC93" s="258"/>
    </row>
    <row r="94" spans="1:30" s="26" customFormat="1" ht="37.5" customHeight="1" x14ac:dyDescent="0.2">
      <c r="A94" s="215" t="s">
        <v>73</v>
      </c>
      <c r="B94" s="182" t="s">
        <v>416</v>
      </c>
      <c r="C94" s="187" t="s">
        <v>364</v>
      </c>
      <c r="D94" s="178" t="s">
        <v>403</v>
      </c>
      <c r="E94" s="178" t="s">
        <v>208</v>
      </c>
      <c r="F94" s="175" t="s">
        <v>53</v>
      </c>
      <c r="G94" s="175" t="s">
        <v>595</v>
      </c>
      <c r="H94" s="175">
        <v>337</v>
      </c>
      <c r="I94" s="175">
        <v>5</v>
      </c>
      <c r="J94" s="175">
        <v>46985</v>
      </c>
      <c r="K94" s="195" t="s">
        <v>515</v>
      </c>
      <c r="L94" s="175">
        <v>16</v>
      </c>
      <c r="M94" s="175">
        <v>11</v>
      </c>
      <c r="N94" s="175"/>
      <c r="O94" s="178" t="s">
        <v>211</v>
      </c>
      <c r="P94" s="175" t="s">
        <v>953</v>
      </c>
      <c r="Q94" s="189" t="s">
        <v>882</v>
      </c>
      <c r="R94" s="199" t="s">
        <v>470</v>
      </c>
      <c r="S94" s="175" t="s">
        <v>877</v>
      </c>
      <c r="T94" s="175">
        <v>3</v>
      </c>
      <c r="U94" s="175"/>
      <c r="V94" s="175" t="s">
        <v>877</v>
      </c>
      <c r="W94" s="238"/>
      <c r="X94" s="180"/>
      <c r="Y94" s="203"/>
      <c r="Z94" s="240" t="s">
        <v>1004</v>
      </c>
      <c r="AA94" s="208" t="s">
        <v>1090</v>
      </c>
      <c r="AB94" s="208" t="s">
        <v>1159</v>
      </c>
      <c r="AC94" s="251" t="s">
        <v>1404</v>
      </c>
    </row>
    <row r="95" spans="1:30" s="26" customFormat="1" ht="37.5" customHeight="1" x14ac:dyDescent="0.2">
      <c r="A95" s="215" t="s">
        <v>74</v>
      </c>
      <c r="B95" s="166" t="s">
        <v>76</v>
      </c>
      <c r="C95" s="167" t="s">
        <v>402</v>
      </c>
      <c r="D95" s="166">
        <v>140</v>
      </c>
      <c r="E95" s="166" t="s">
        <v>208</v>
      </c>
      <c r="F95" s="177" t="s">
        <v>3</v>
      </c>
      <c r="G95" s="177" t="s">
        <v>1157</v>
      </c>
      <c r="H95" s="168">
        <v>356</v>
      </c>
      <c r="I95" s="168">
        <v>1</v>
      </c>
      <c r="J95" s="175">
        <v>34775</v>
      </c>
      <c r="K95" s="195" t="s">
        <v>326</v>
      </c>
      <c r="L95" s="168">
        <v>16</v>
      </c>
      <c r="M95" s="168">
        <v>12</v>
      </c>
      <c r="N95" s="168"/>
      <c r="O95" s="166" t="s">
        <v>211</v>
      </c>
      <c r="P95" s="168" t="s">
        <v>224</v>
      </c>
      <c r="Q95" s="170" t="s">
        <v>860</v>
      </c>
      <c r="R95" s="167" t="s">
        <v>435</v>
      </c>
      <c r="S95" s="168" t="s">
        <v>877</v>
      </c>
      <c r="T95" s="168">
        <v>5</v>
      </c>
      <c r="U95" s="175"/>
      <c r="V95" s="175" t="s">
        <v>877</v>
      </c>
      <c r="W95" s="171"/>
      <c r="X95" s="171"/>
      <c r="Y95" s="180"/>
      <c r="Z95" s="238" t="s">
        <v>1009</v>
      </c>
      <c r="AA95" s="208" t="s">
        <v>973</v>
      </c>
      <c r="AB95" s="208" t="s">
        <v>974</v>
      </c>
      <c r="AC95" s="250" t="s">
        <v>1392</v>
      </c>
    </row>
    <row r="96" spans="1:30" s="26" customFormat="1" ht="37.5" customHeight="1" x14ac:dyDescent="0.2">
      <c r="A96" s="215" t="s">
        <v>75</v>
      </c>
      <c r="B96" s="182" t="s">
        <v>416</v>
      </c>
      <c r="C96" s="187" t="s">
        <v>401</v>
      </c>
      <c r="D96" s="178">
        <v>140</v>
      </c>
      <c r="E96" s="178" t="s">
        <v>208</v>
      </c>
      <c r="F96" s="191" t="s">
        <v>3</v>
      </c>
      <c r="G96" s="191" t="s">
        <v>1172</v>
      </c>
      <c r="H96" s="175">
        <v>357</v>
      </c>
      <c r="I96" s="175">
        <v>1</v>
      </c>
      <c r="J96" s="175">
        <v>48211</v>
      </c>
      <c r="K96" s="195" t="s">
        <v>515</v>
      </c>
      <c r="L96" s="175">
        <v>32</v>
      </c>
      <c r="M96" s="175">
        <v>19</v>
      </c>
      <c r="N96" s="175"/>
      <c r="O96" s="178" t="s">
        <v>211</v>
      </c>
      <c r="P96" s="175" t="s">
        <v>964</v>
      </c>
      <c r="Q96" s="189" t="s">
        <v>860</v>
      </c>
      <c r="R96" s="189" t="s">
        <v>767</v>
      </c>
      <c r="S96" s="175" t="s">
        <v>877</v>
      </c>
      <c r="T96" s="175">
        <v>2</v>
      </c>
      <c r="U96" s="175"/>
      <c r="V96" s="175" t="s">
        <v>877</v>
      </c>
      <c r="W96" s="238"/>
      <c r="X96" s="180"/>
      <c r="Y96" s="180"/>
      <c r="Z96" s="240" t="s">
        <v>1006</v>
      </c>
      <c r="AA96" s="208" t="s">
        <v>975</v>
      </c>
      <c r="AB96" s="208" t="s">
        <v>976</v>
      </c>
      <c r="AC96" s="250" t="s">
        <v>1392</v>
      </c>
    </row>
    <row r="97" spans="1:31" s="26" customFormat="1" ht="40.5" customHeight="1" x14ac:dyDescent="0.2">
      <c r="A97" s="215" t="s">
        <v>79</v>
      </c>
      <c r="B97" s="166" t="s">
        <v>76</v>
      </c>
      <c r="C97" s="167" t="s">
        <v>395</v>
      </c>
      <c r="D97" s="166" t="s">
        <v>386</v>
      </c>
      <c r="E97" s="166" t="s">
        <v>208</v>
      </c>
      <c r="F97" s="177" t="s">
        <v>3</v>
      </c>
      <c r="G97" s="177" t="s">
        <v>1186</v>
      </c>
      <c r="H97" s="177">
        <v>363</v>
      </c>
      <c r="I97" s="168">
        <v>1</v>
      </c>
      <c r="J97" s="175">
        <v>31656</v>
      </c>
      <c r="K97" s="194" t="s">
        <v>202</v>
      </c>
      <c r="L97" s="168">
        <v>16</v>
      </c>
      <c r="M97" s="168">
        <v>0</v>
      </c>
      <c r="N97" s="166" t="s">
        <v>530</v>
      </c>
      <c r="O97" s="166" t="s">
        <v>211</v>
      </c>
      <c r="P97" s="168" t="s">
        <v>224</v>
      </c>
      <c r="Q97" s="170" t="s">
        <v>860</v>
      </c>
      <c r="R97" s="167" t="s">
        <v>435</v>
      </c>
      <c r="S97" s="168" t="s">
        <v>877</v>
      </c>
      <c r="T97" s="168">
        <v>35</v>
      </c>
      <c r="U97" s="168"/>
      <c r="V97" s="175" t="s">
        <v>877</v>
      </c>
      <c r="W97" s="171"/>
      <c r="X97" s="180"/>
      <c r="Y97" s="210"/>
      <c r="Z97" s="238" t="s">
        <v>1007</v>
      </c>
      <c r="AA97" s="208" t="s">
        <v>1187</v>
      </c>
      <c r="AB97" s="208" t="s">
        <v>1188</v>
      </c>
      <c r="AC97" s="250" t="s">
        <v>1392</v>
      </c>
    </row>
    <row r="98" spans="1:31" s="2" customFormat="1" ht="36.75" customHeight="1" x14ac:dyDescent="0.2">
      <c r="A98" s="215" t="s">
        <v>82</v>
      </c>
      <c r="B98" s="166" t="s">
        <v>76</v>
      </c>
      <c r="C98" s="187" t="s">
        <v>338</v>
      </c>
      <c r="D98" s="178" t="s">
        <v>345</v>
      </c>
      <c r="E98" s="178" t="s">
        <v>208</v>
      </c>
      <c r="F98" s="175" t="s">
        <v>3</v>
      </c>
      <c r="G98" s="175" t="s">
        <v>1150</v>
      </c>
      <c r="H98" s="175">
        <v>359</v>
      </c>
      <c r="I98" s="175">
        <v>2</v>
      </c>
      <c r="J98" s="175">
        <v>30547</v>
      </c>
      <c r="K98" s="18" t="s">
        <v>210</v>
      </c>
      <c r="L98" s="168">
        <v>16</v>
      </c>
      <c r="M98" s="168"/>
      <c r="N98" s="166" t="s">
        <v>1155</v>
      </c>
      <c r="O98" s="166" t="s">
        <v>211</v>
      </c>
      <c r="P98" s="168" t="s">
        <v>224</v>
      </c>
      <c r="Q98" s="170" t="s">
        <v>883</v>
      </c>
      <c r="R98" s="170" t="s">
        <v>767</v>
      </c>
      <c r="S98" s="168" t="s">
        <v>877</v>
      </c>
      <c r="T98" s="168">
        <v>1</v>
      </c>
      <c r="U98" s="168"/>
      <c r="V98" s="175" t="s">
        <v>877</v>
      </c>
      <c r="W98" s="171"/>
      <c r="X98" s="260" t="s">
        <v>1433</v>
      </c>
      <c r="Y98" s="186"/>
      <c r="Z98" s="238" t="s">
        <v>1226</v>
      </c>
      <c r="AA98" s="208"/>
      <c r="AB98" s="208"/>
      <c r="AC98" s="251" t="s">
        <v>1396</v>
      </c>
      <c r="AD98" s="253"/>
    </row>
    <row r="99" spans="1:31" s="26" customFormat="1" ht="37.5" customHeight="1" x14ac:dyDescent="0.2">
      <c r="A99" s="215" t="s">
        <v>83</v>
      </c>
      <c r="B99" s="178" t="s">
        <v>76</v>
      </c>
      <c r="C99" s="187" t="s">
        <v>406</v>
      </c>
      <c r="D99" s="178" t="s">
        <v>880</v>
      </c>
      <c r="E99" s="178" t="s">
        <v>208</v>
      </c>
      <c r="F99" s="175" t="s">
        <v>53</v>
      </c>
      <c r="G99" s="175" t="s">
        <v>446</v>
      </c>
      <c r="H99" s="175">
        <v>371</v>
      </c>
      <c r="I99" s="175">
        <v>5</v>
      </c>
      <c r="J99" s="175">
        <v>36113</v>
      </c>
      <c r="K99" s="195" t="s">
        <v>210</v>
      </c>
      <c r="L99" s="175">
        <v>16</v>
      </c>
      <c r="M99" s="175">
        <v>11</v>
      </c>
      <c r="N99" s="175" t="s">
        <v>58</v>
      </c>
      <c r="O99" s="178" t="s">
        <v>211</v>
      </c>
      <c r="P99" s="175" t="s">
        <v>224</v>
      </c>
      <c r="Q99" s="189" t="s">
        <v>882</v>
      </c>
      <c r="R99" s="187"/>
      <c r="S99" s="175" t="s">
        <v>877</v>
      </c>
      <c r="T99" s="175">
        <v>1</v>
      </c>
      <c r="U99" s="175"/>
      <c r="V99" s="175" t="s">
        <v>877</v>
      </c>
      <c r="W99" s="171"/>
      <c r="X99" s="180" t="s">
        <v>1278</v>
      </c>
      <c r="Y99" s="171"/>
      <c r="Z99" s="240" t="s">
        <v>1077</v>
      </c>
      <c r="AA99" s="208" t="s">
        <v>1078</v>
      </c>
      <c r="AB99" s="208" t="s">
        <v>1079</v>
      </c>
      <c r="AC99" s="250" t="s">
        <v>1392</v>
      </c>
    </row>
    <row r="100" spans="1:31" s="26" customFormat="1" ht="37.5" customHeight="1" x14ac:dyDescent="0.2">
      <c r="A100" s="215" t="s">
        <v>85</v>
      </c>
      <c r="B100" s="166" t="s">
        <v>76</v>
      </c>
      <c r="C100" s="167" t="s">
        <v>395</v>
      </c>
      <c r="D100" s="166">
        <v>190</v>
      </c>
      <c r="E100" s="166" t="s">
        <v>208</v>
      </c>
      <c r="F100" s="177" t="s">
        <v>3</v>
      </c>
      <c r="G100" s="177" t="s">
        <v>541</v>
      </c>
      <c r="H100" s="168">
        <v>297</v>
      </c>
      <c r="I100" s="168">
        <v>2</v>
      </c>
      <c r="J100" s="175">
        <v>29792</v>
      </c>
      <c r="K100" s="194" t="s">
        <v>328</v>
      </c>
      <c r="L100" s="168">
        <v>16</v>
      </c>
      <c r="M100" s="168">
        <v>0</v>
      </c>
      <c r="N100" s="166" t="s">
        <v>213</v>
      </c>
      <c r="O100" s="166" t="s">
        <v>212</v>
      </c>
      <c r="P100" s="168" t="s">
        <v>224</v>
      </c>
      <c r="Q100" s="170" t="s">
        <v>860</v>
      </c>
      <c r="R100" s="167" t="s">
        <v>435</v>
      </c>
      <c r="S100" s="168" t="s">
        <v>877</v>
      </c>
      <c r="T100" s="168">
        <v>58</v>
      </c>
      <c r="U100" s="175"/>
      <c r="V100" s="175" t="s">
        <v>877</v>
      </c>
      <c r="W100" s="171"/>
      <c r="X100" s="180" t="s">
        <v>1224</v>
      </c>
      <c r="Y100" s="171"/>
      <c r="Z100" s="238" t="s">
        <v>1427</v>
      </c>
      <c r="AA100" s="208"/>
      <c r="AB100" s="208"/>
      <c r="AC100" s="251" t="s">
        <v>1395</v>
      </c>
      <c r="AD100" s="252"/>
    </row>
    <row r="101" spans="1:31" s="2" customFormat="1" ht="38.25" customHeight="1" x14ac:dyDescent="0.2">
      <c r="A101" s="215" t="s">
        <v>86</v>
      </c>
      <c r="B101" s="173" t="s">
        <v>416</v>
      </c>
      <c r="C101" s="167" t="s">
        <v>442</v>
      </c>
      <c r="D101" s="166">
        <v>190</v>
      </c>
      <c r="E101" s="166" t="s">
        <v>208</v>
      </c>
      <c r="F101" s="177" t="s">
        <v>176</v>
      </c>
      <c r="G101" s="177" t="s">
        <v>150</v>
      </c>
      <c r="H101" s="168">
        <v>112</v>
      </c>
      <c r="I101" s="168">
        <v>1</v>
      </c>
      <c r="J101" s="175">
        <v>47119</v>
      </c>
      <c r="K101" s="194" t="s">
        <v>323</v>
      </c>
      <c r="L101" s="168">
        <v>16</v>
      </c>
      <c r="M101" s="168">
        <v>0</v>
      </c>
      <c r="N101" s="166" t="s">
        <v>213</v>
      </c>
      <c r="O101" s="166" t="s">
        <v>212</v>
      </c>
      <c r="P101" s="168" t="s">
        <v>953</v>
      </c>
      <c r="Q101" s="170" t="s">
        <v>860</v>
      </c>
      <c r="R101" s="170" t="s">
        <v>767</v>
      </c>
      <c r="S101" s="168" t="s">
        <v>877</v>
      </c>
      <c r="T101" s="168">
        <v>51</v>
      </c>
      <c r="U101" s="168"/>
      <c r="V101" s="175" t="s">
        <v>877</v>
      </c>
      <c r="W101" s="238"/>
      <c r="X101" s="180"/>
      <c r="Y101" s="171"/>
      <c r="Z101" s="238" t="s">
        <v>1008</v>
      </c>
      <c r="AA101" s="208" t="s">
        <v>1080</v>
      </c>
      <c r="AB101" s="208" t="s">
        <v>1159</v>
      </c>
      <c r="AC101" s="250" t="s">
        <v>1392</v>
      </c>
    </row>
    <row r="102" spans="1:31" s="26" customFormat="1" ht="37.5" customHeight="1" x14ac:dyDescent="0.2">
      <c r="A102" s="215" t="s">
        <v>88</v>
      </c>
      <c r="B102" s="166" t="s">
        <v>76</v>
      </c>
      <c r="C102" s="167" t="s">
        <v>392</v>
      </c>
      <c r="D102" s="166">
        <v>190</v>
      </c>
      <c r="E102" s="166" t="s">
        <v>208</v>
      </c>
      <c r="F102" s="177" t="s">
        <v>3</v>
      </c>
      <c r="G102" s="177" t="s">
        <v>1173</v>
      </c>
      <c r="H102" s="168">
        <v>142</v>
      </c>
      <c r="I102" s="168">
        <v>1</v>
      </c>
      <c r="J102" s="175">
        <v>29735</v>
      </c>
      <c r="K102" s="194" t="s">
        <v>209</v>
      </c>
      <c r="L102" s="168">
        <v>16</v>
      </c>
      <c r="M102" s="168">
        <v>0</v>
      </c>
      <c r="N102" s="168" t="s">
        <v>213</v>
      </c>
      <c r="O102" s="166" t="s">
        <v>211</v>
      </c>
      <c r="P102" s="168" t="s">
        <v>224</v>
      </c>
      <c r="Q102" s="170" t="s">
        <v>860</v>
      </c>
      <c r="R102" s="170" t="s">
        <v>767</v>
      </c>
      <c r="S102" s="168" t="s">
        <v>877</v>
      </c>
      <c r="T102" s="168">
        <v>43</v>
      </c>
      <c r="U102" s="168"/>
      <c r="V102" s="175" t="s">
        <v>877</v>
      </c>
      <c r="W102" s="171"/>
      <c r="X102" s="171"/>
      <c r="Y102" s="171"/>
      <c r="Z102" s="241" t="s">
        <v>1013</v>
      </c>
      <c r="AA102" s="208" t="s">
        <v>910</v>
      </c>
      <c r="AB102" s="208" t="s">
        <v>911</v>
      </c>
      <c r="AC102" s="250" t="s">
        <v>1392</v>
      </c>
    </row>
    <row r="103" spans="1:31" s="26" customFormat="1" ht="37.5" customHeight="1" x14ac:dyDescent="0.2">
      <c r="A103" s="215" t="s">
        <v>92</v>
      </c>
      <c r="B103" s="173" t="s">
        <v>416</v>
      </c>
      <c r="C103" s="187" t="s">
        <v>429</v>
      </c>
      <c r="D103" s="178">
        <v>30</v>
      </c>
      <c r="E103" s="178" t="s">
        <v>208</v>
      </c>
      <c r="F103" s="175" t="s">
        <v>3</v>
      </c>
      <c r="G103" s="175" t="s">
        <v>1054</v>
      </c>
      <c r="H103" s="175">
        <v>5</v>
      </c>
      <c r="I103" s="175">
        <v>2</v>
      </c>
      <c r="J103" s="175">
        <v>47379</v>
      </c>
      <c r="K103" s="194" t="s">
        <v>548</v>
      </c>
      <c r="L103" s="175">
        <v>16</v>
      </c>
      <c r="M103" s="175">
        <v>7</v>
      </c>
      <c r="N103" s="175"/>
      <c r="O103" s="178" t="s">
        <v>212</v>
      </c>
      <c r="P103" s="175" t="s">
        <v>224</v>
      </c>
      <c r="Q103" s="189" t="s">
        <v>860</v>
      </c>
      <c r="R103" s="187" t="s">
        <v>474</v>
      </c>
      <c r="S103" s="175" t="s">
        <v>877</v>
      </c>
      <c r="T103" s="175">
        <v>23</v>
      </c>
      <c r="U103" s="175"/>
      <c r="V103" s="175" t="s">
        <v>877</v>
      </c>
      <c r="W103" s="238"/>
      <c r="X103" s="180" t="s">
        <v>1253</v>
      </c>
      <c r="Y103" s="202"/>
      <c r="Z103" s="241" t="s">
        <v>1029</v>
      </c>
      <c r="AA103" s="208" t="s">
        <v>1201</v>
      </c>
      <c r="AB103" s="208" t="s">
        <v>1202</v>
      </c>
      <c r="AC103" s="251" t="s">
        <v>1400</v>
      </c>
      <c r="AD103" s="252"/>
    </row>
    <row r="104" spans="1:31" s="26" customFormat="1" ht="37.5" customHeight="1" x14ac:dyDescent="0.2">
      <c r="A104" s="215" t="s">
        <v>93</v>
      </c>
      <c r="B104" s="178" t="s">
        <v>76</v>
      </c>
      <c r="C104" s="187" t="s">
        <v>356</v>
      </c>
      <c r="D104" s="178">
        <v>140</v>
      </c>
      <c r="E104" s="178" t="s">
        <v>208</v>
      </c>
      <c r="F104" s="191" t="s">
        <v>3</v>
      </c>
      <c r="G104" s="191" t="s">
        <v>284</v>
      </c>
      <c r="H104" s="175">
        <v>159</v>
      </c>
      <c r="I104" s="175">
        <v>1</v>
      </c>
      <c r="J104" s="175">
        <v>33976</v>
      </c>
      <c r="K104" s="195" t="s">
        <v>210</v>
      </c>
      <c r="L104" s="175">
        <v>16</v>
      </c>
      <c r="M104" s="175">
        <v>9</v>
      </c>
      <c r="N104" s="175"/>
      <c r="O104" s="178" t="s">
        <v>211</v>
      </c>
      <c r="P104" s="175" t="s">
        <v>224</v>
      </c>
      <c r="Q104" s="189" t="s">
        <v>860</v>
      </c>
      <c r="R104" s="187" t="s">
        <v>435</v>
      </c>
      <c r="S104" s="175" t="s">
        <v>877</v>
      </c>
      <c r="T104" s="175">
        <v>3</v>
      </c>
      <c r="U104" s="175"/>
      <c r="V104" s="175" t="s">
        <v>877</v>
      </c>
      <c r="W104" s="171"/>
      <c r="X104" s="180"/>
      <c r="Y104" s="171"/>
      <c r="Z104" s="240" t="s">
        <v>1010</v>
      </c>
      <c r="AA104" s="208" t="s">
        <v>949</v>
      </c>
      <c r="AB104" s="208" t="s">
        <v>950</v>
      </c>
      <c r="AC104" s="250" t="s">
        <v>1392</v>
      </c>
    </row>
    <row r="105" spans="1:31" s="26" customFormat="1" ht="37.5" customHeight="1" x14ac:dyDescent="0.2">
      <c r="A105" s="215" t="s">
        <v>94</v>
      </c>
      <c r="B105" s="166" t="s">
        <v>76</v>
      </c>
      <c r="C105" s="167" t="s">
        <v>356</v>
      </c>
      <c r="D105" s="166">
        <v>220</v>
      </c>
      <c r="E105" s="166" t="s">
        <v>208</v>
      </c>
      <c r="F105" s="168" t="s">
        <v>3</v>
      </c>
      <c r="G105" s="168" t="s">
        <v>150</v>
      </c>
      <c r="H105" s="168">
        <v>373</v>
      </c>
      <c r="I105" s="168">
        <v>1</v>
      </c>
      <c r="J105" s="175">
        <v>36131</v>
      </c>
      <c r="K105" s="194" t="s">
        <v>210</v>
      </c>
      <c r="L105" s="168">
        <v>16</v>
      </c>
      <c r="M105" s="168">
        <v>14</v>
      </c>
      <c r="N105" s="175" t="s">
        <v>213</v>
      </c>
      <c r="O105" s="166" t="s">
        <v>211</v>
      </c>
      <c r="P105" s="168" t="s">
        <v>224</v>
      </c>
      <c r="Q105" s="170" t="s">
        <v>649</v>
      </c>
      <c r="R105" s="167" t="s">
        <v>435</v>
      </c>
      <c r="S105" s="168" t="s">
        <v>877</v>
      </c>
      <c r="T105" s="168">
        <v>3</v>
      </c>
      <c r="U105" s="168"/>
      <c r="V105" s="168" t="s">
        <v>877</v>
      </c>
      <c r="W105" s="171"/>
      <c r="X105" s="171"/>
      <c r="Y105" s="171"/>
      <c r="Z105" s="238" t="s">
        <v>1014</v>
      </c>
      <c r="AA105" s="208"/>
      <c r="AB105" s="208"/>
      <c r="AC105" s="250" t="s">
        <v>1392</v>
      </c>
    </row>
    <row r="106" spans="1:31" s="26" customFormat="1" ht="37.5" customHeight="1" x14ac:dyDescent="0.2">
      <c r="A106" s="215" t="s">
        <v>95</v>
      </c>
      <c r="B106" s="166" t="s">
        <v>76</v>
      </c>
      <c r="C106" s="167" t="s">
        <v>335</v>
      </c>
      <c r="D106" s="166" t="s">
        <v>195</v>
      </c>
      <c r="E106" s="166" t="s">
        <v>208</v>
      </c>
      <c r="F106" s="177" t="s">
        <v>3</v>
      </c>
      <c r="G106" s="177" t="s">
        <v>1163</v>
      </c>
      <c r="H106" s="177">
        <v>377</v>
      </c>
      <c r="I106" s="168">
        <v>2</v>
      </c>
      <c r="J106" s="175">
        <v>28586</v>
      </c>
      <c r="K106" s="194" t="s">
        <v>210</v>
      </c>
      <c r="L106" s="168">
        <v>16</v>
      </c>
      <c r="M106" s="168">
        <v>9</v>
      </c>
      <c r="N106" s="175" t="s">
        <v>213</v>
      </c>
      <c r="O106" s="168" t="s">
        <v>211</v>
      </c>
      <c r="P106" s="168" t="s">
        <v>224</v>
      </c>
      <c r="Q106" s="170" t="s">
        <v>860</v>
      </c>
      <c r="R106" s="169"/>
      <c r="S106" s="168" t="s">
        <v>877</v>
      </c>
      <c r="T106" s="168">
        <v>8</v>
      </c>
      <c r="U106" s="168"/>
      <c r="V106" s="168" t="s">
        <v>877</v>
      </c>
      <c r="W106" s="171" t="s">
        <v>848</v>
      </c>
      <c r="X106" s="171" t="s">
        <v>1382</v>
      </c>
      <c r="Y106" s="171"/>
      <c r="Z106" s="238" t="s">
        <v>1381</v>
      </c>
      <c r="AA106" s="208" t="s">
        <v>943</v>
      </c>
      <c r="AB106" s="208" t="s">
        <v>944</v>
      </c>
      <c r="AC106" s="251" t="s">
        <v>1399</v>
      </c>
      <c r="AD106" s="252"/>
    </row>
    <row r="107" spans="1:31" s="26" customFormat="1" ht="37.5" customHeight="1" x14ac:dyDescent="0.2">
      <c r="A107" s="215" t="s">
        <v>96</v>
      </c>
      <c r="B107" s="178" t="s">
        <v>76</v>
      </c>
      <c r="C107" s="187" t="s">
        <v>430</v>
      </c>
      <c r="D107" s="178" t="s">
        <v>431</v>
      </c>
      <c r="E107" s="178" t="s">
        <v>208</v>
      </c>
      <c r="F107" s="191" t="s">
        <v>3</v>
      </c>
      <c r="G107" s="191" t="s">
        <v>632</v>
      </c>
      <c r="H107" s="175">
        <v>276</v>
      </c>
      <c r="I107" s="175">
        <v>1</v>
      </c>
      <c r="J107" s="175">
        <v>36105</v>
      </c>
      <c r="K107" s="195" t="s">
        <v>210</v>
      </c>
      <c r="L107" s="175" t="s">
        <v>58</v>
      </c>
      <c r="M107" s="175"/>
      <c r="N107" s="175" t="s">
        <v>213</v>
      </c>
      <c r="O107" s="178" t="s">
        <v>211</v>
      </c>
      <c r="P107" s="175" t="s">
        <v>224</v>
      </c>
      <c r="Q107" s="189" t="s">
        <v>860</v>
      </c>
      <c r="R107" s="187" t="s">
        <v>435</v>
      </c>
      <c r="S107" s="175" t="s">
        <v>877</v>
      </c>
      <c r="T107" s="175">
        <v>25</v>
      </c>
      <c r="U107" s="175"/>
      <c r="V107" s="175" t="s">
        <v>877</v>
      </c>
      <c r="W107" s="180"/>
      <c r="X107" s="180"/>
      <c r="Y107" s="180"/>
      <c r="Z107" s="240" t="s">
        <v>1011</v>
      </c>
      <c r="AA107" s="208" t="s">
        <v>956</v>
      </c>
      <c r="AB107" s="208" t="s">
        <v>957</v>
      </c>
      <c r="AC107" s="250" t="s">
        <v>1392</v>
      </c>
    </row>
    <row r="108" spans="1:31" s="26" customFormat="1" ht="37.5" customHeight="1" x14ac:dyDescent="0.2">
      <c r="A108" s="215" t="s">
        <v>97</v>
      </c>
      <c r="B108" s="166" t="s">
        <v>76</v>
      </c>
      <c r="C108" s="167" t="s">
        <v>362</v>
      </c>
      <c r="D108" s="166">
        <v>10</v>
      </c>
      <c r="E108" s="166" t="s">
        <v>208</v>
      </c>
      <c r="F108" s="168" t="s">
        <v>53</v>
      </c>
      <c r="G108" s="168" t="s">
        <v>446</v>
      </c>
      <c r="H108" s="168">
        <v>80</v>
      </c>
      <c r="I108" s="168">
        <v>5</v>
      </c>
      <c r="J108" s="175">
        <v>34773</v>
      </c>
      <c r="K108" s="194" t="s">
        <v>210</v>
      </c>
      <c r="L108" s="168">
        <v>16</v>
      </c>
      <c r="M108" s="168">
        <v>6</v>
      </c>
      <c r="N108" s="185"/>
      <c r="O108" s="166" t="s">
        <v>211</v>
      </c>
      <c r="P108" s="168" t="s">
        <v>224</v>
      </c>
      <c r="Q108" s="170" t="s">
        <v>882</v>
      </c>
      <c r="R108" s="167" t="s">
        <v>470</v>
      </c>
      <c r="S108" s="168" t="s">
        <v>877</v>
      </c>
      <c r="T108" s="168">
        <v>2</v>
      </c>
      <c r="U108" s="168"/>
      <c r="V108" s="175" t="s">
        <v>877</v>
      </c>
      <c r="W108" s="171"/>
      <c r="X108" s="171" t="s">
        <v>1280</v>
      </c>
      <c r="Y108" s="245" t="s">
        <v>1376</v>
      </c>
      <c r="Z108" s="238" t="s">
        <v>1213</v>
      </c>
      <c r="AA108" s="208" t="s">
        <v>1081</v>
      </c>
      <c r="AB108" s="208" t="s">
        <v>1082</v>
      </c>
      <c r="AC108" s="250" t="s">
        <v>1392</v>
      </c>
      <c r="AE108" s="2"/>
    </row>
    <row r="109" spans="1:31" s="26" customFormat="1" ht="37.5" customHeight="1" x14ac:dyDescent="0.2">
      <c r="A109" s="215" t="s">
        <v>98</v>
      </c>
      <c r="B109" s="166" t="s">
        <v>76</v>
      </c>
      <c r="C109" s="167" t="s">
        <v>362</v>
      </c>
      <c r="D109" s="166">
        <v>30</v>
      </c>
      <c r="E109" s="166" t="s">
        <v>208</v>
      </c>
      <c r="F109" s="168" t="s">
        <v>53</v>
      </c>
      <c r="G109" s="168" t="s">
        <v>446</v>
      </c>
      <c r="H109" s="168">
        <v>141</v>
      </c>
      <c r="I109" s="168">
        <v>5</v>
      </c>
      <c r="J109" s="175">
        <v>29674</v>
      </c>
      <c r="K109" s="194" t="s">
        <v>210</v>
      </c>
      <c r="L109" s="175">
        <v>16</v>
      </c>
      <c r="M109" s="175">
        <v>13</v>
      </c>
      <c r="N109" s="168" t="s">
        <v>213</v>
      </c>
      <c r="O109" s="178" t="s">
        <v>211</v>
      </c>
      <c r="P109" s="168" t="s">
        <v>224</v>
      </c>
      <c r="Q109" s="170" t="s">
        <v>882</v>
      </c>
      <c r="R109" s="167" t="s">
        <v>470</v>
      </c>
      <c r="S109" s="168" t="s">
        <v>877</v>
      </c>
      <c r="T109" s="168">
        <v>2</v>
      </c>
      <c r="U109" s="175"/>
      <c r="V109" s="175" t="s">
        <v>877</v>
      </c>
      <c r="W109" s="171"/>
      <c r="X109" s="171"/>
      <c r="Y109" s="171"/>
      <c r="Z109" s="238" t="s">
        <v>1083</v>
      </c>
      <c r="AA109" s="208" t="s">
        <v>1084</v>
      </c>
      <c r="AB109" s="208" t="s">
        <v>1085</v>
      </c>
      <c r="AC109" s="250" t="s">
        <v>1392</v>
      </c>
    </row>
    <row r="110" spans="1:31" s="26" customFormat="1" ht="37.5" customHeight="1" x14ac:dyDescent="0.2">
      <c r="A110" s="215" t="s">
        <v>100</v>
      </c>
      <c r="B110" s="166" t="s">
        <v>76</v>
      </c>
      <c r="C110" s="187" t="s">
        <v>316</v>
      </c>
      <c r="D110" s="178" t="s">
        <v>345</v>
      </c>
      <c r="E110" s="178" t="s">
        <v>208</v>
      </c>
      <c r="F110" s="175" t="s">
        <v>176</v>
      </c>
      <c r="G110" s="175" t="s">
        <v>235</v>
      </c>
      <c r="H110" s="175">
        <v>41</v>
      </c>
      <c r="I110" s="175">
        <v>2</v>
      </c>
      <c r="J110" s="174">
        <v>36269</v>
      </c>
      <c r="K110" s="194" t="s">
        <v>210</v>
      </c>
      <c r="L110" s="168">
        <v>24</v>
      </c>
      <c r="M110" s="175">
        <v>0</v>
      </c>
      <c r="N110" s="175" t="s">
        <v>213</v>
      </c>
      <c r="O110" s="168" t="s">
        <v>211</v>
      </c>
      <c r="P110" s="175" t="s">
        <v>224</v>
      </c>
      <c r="Q110" s="189" t="s">
        <v>860</v>
      </c>
      <c r="R110" s="199" t="s">
        <v>474</v>
      </c>
      <c r="S110" s="175" t="s">
        <v>877</v>
      </c>
      <c r="T110" s="175"/>
      <c r="U110" s="175"/>
      <c r="V110" s="175" t="s">
        <v>877</v>
      </c>
      <c r="W110" s="180"/>
      <c r="X110" s="180"/>
      <c r="Y110" s="180"/>
      <c r="Z110" s="240" t="s">
        <v>1374</v>
      </c>
      <c r="AA110" s="208" t="s">
        <v>1192</v>
      </c>
      <c r="AB110" s="208" t="s">
        <v>1193</v>
      </c>
      <c r="AC110" s="250" t="s">
        <v>1392</v>
      </c>
    </row>
    <row r="111" spans="1:31" s="26" customFormat="1" ht="37.5" customHeight="1" x14ac:dyDescent="0.2">
      <c r="A111" s="215" t="s">
        <v>108</v>
      </c>
      <c r="B111" s="166" t="s">
        <v>76</v>
      </c>
      <c r="C111" s="167" t="s">
        <v>363</v>
      </c>
      <c r="D111" s="168">
        <v>50</v>
      </c>
      <c r="E111" s="166" t="s">
        <v>208</v>
      </c>
      <c r="F111" s="168" t="s">
        <v>53</v>
      </c>
      <c r="G111" s="168" t="s">
        <v>152</v>
      </c>
      <c r="H111" s="168">
        <v>216</v>
      </c>
      <c r="I111" s="168">
        <v>5</v>
      </c>
      <c r="J111" s="175">
        <v>31526</v>
      </c>
      <c r="K111" s="194" t="s">
        <v>328</v>
      </c>
      <c r="L111" s="168">
        <v>16</v>
      </c>
      <c r="M111" s="168">
        <v>4</v>
      </c>
      <c r="N111" s="168" t="s">
        <v>213</v>
      </c>
      <c r="O111" s="166" t="s">
        <v>211</v>
      </c>
      <c r="P111" s="168" t="s">
        <v>224</v>
      </c>
      <c r="Q111" s="170" t="s">
        <v>882</v>
      </c>
      <c r="R111" s="167" t="s">
        <v>470</v>
      </c>
      <c r="S111" s="175" t="s">
        <v>877</v>
      </c>
      <c r="T111" s="175">
        <v>1</v>
      </c>
      <c r="U111" s="175"/>
      <c r="V111" s="175" t="s">
        <v>877</v>
      </c>
      <c r="W111" s="180"/>
      <c r="X111" s="180" t="s">
        <v>1281</v>
      </c>
      <c r="Y111" s="180"/>
      <c r="Z111" s="240" t="s">
        <v>1086</v>
      </c>
      <c r="AA111" s="208" t="s">
        <v>1087</v>
      </c>
      <c r="AB111" s="208" t="s">
        <v>1088</v>
      </c>
      <c r="AC111" s="250" t="s">
        <v>1392</v>
      </c>
    </row>
    <row r="112" spans="1:31" s="26" customFormat="1" ht="37.5" customHeight="1" x14ac:dyDescent="0.2">
      <c r="A112" s="215" t="s">
        <v>110</v>
      </c>
      <c r="B112" s="166" t="s">
        <v>76</v>
      </c>
      <c r="C112" s="167" t="s">
        <v>406</v>
      </c>
      <c r="D112" s="166">
        <v>90</v>
      </c>
      <c r="E112" s="166" t="s">
        <v>208</v>
      </c>
      <c r="F112" s="168" t="s">
        <v>3</v>
      </c>
      <c r="G112" s="168" t="s">
        <v>260</v>
      </c>
      <c r="H112" s="168">
        <v>199</v>
      </c>
      <c r="I112" s="168">
        <v>5</v>
      </c>
      <c r="J112" s="175">
        <v>29794</v>
      </c>
      <c r="K112" s="18" t="s">
        <v>210</v>
      </c>
      <c r="L112" s="168">
        <v>16</v>
      </c>
      <c r="M112" s="168">
        <v>7</v>
      </c>
      <c r="N112" s="168"/>
      <c r="O112" s="166" t="s">
        <v>211</v>
      </c>
      <c r="P112" s="168" t="s">
        <v>224</v>
      </c>
      <c r="Q112" s="170" t="s">
        <v>860</v>
      </c>
      <c r="R112" s="167" t="s">
        <v>435</v>
      </c>
      <c r="S112" s="175" t="s">
        <v>877</v>
      </c>
      <c r="T112" s="175">
        <v>1</v>
      </c>
      <c r="U112" s="175"/>
      <c r="V112" s="175" t="s">
        <v>877</v>
      </c>
      <c r="W112" s="171"/>
      <c r="X112" s="171" t="s">
        <v>1223</v>
      </c>
      <c r="Y112" s="171"/>
      <c r="Z112" s="238" t="s">
        <v>1371</v>
      </c>
      <c r="AA112" s="208" t="s">
        <v>969</v>
      </c>
      <c r="AB112" s="208" t="s">
        <v>970</v>
      </c>
      <c r="AC112" s="251" t="s">
        <v>1395</v>
      </c>
      <c r="AD112" s="252"/>
    </row>
    <row r="113" spans="1:30" s="2" customFormat="1" ht="38.25" customHeight="1" x14ac:dyDescent="0.2">
      <c r="A113" s="214" t="s">
        <v>1151</v>
      </c>
      <c r="B113" s="205" t="s">
        <v>539</v>
      </c>
      <c r="C113" s="167" t="s">
        <v>1143</v>
      </c>
      <c r="D113" s="166" t="s">
        <v>1198</v>
      </c>
      <c r="E113" s="166" t="s">
        <v>208</v>
      </c>
      <c r="F113" s="177" t="s">
        <v>3</v>
      </c>
      <c r="G113" s="177" t="s">
        <v>1176</v>
      </c>
      <c r="H113" s="177" t="s">
        <v>1197</v>
      </c>
      <c r="I113" s="168">
        <v>1</v>
      </c>
      <c r="J113" s="176">
        <v>39829</v>
      </c>
      <c r="K113" s="195" t="s">
        <v>515</v>
      </c>
      <c r="L113" s="168">
        <v>16</v>
      </c>
      <c r="M113" s="168">
        <v>0</v>
      </c>
      <c r="N113" s="168"/>
      <c r="O113" s="168" t="s">
        <v>211</v>
      </c>
      <c r="P113" s="168" t="s">
        <v>953</v>
      </c>
      <c r="Q113" s="170" t="s">
        <v>860</v>
      </c>
      <c r="R113" s="170" t="s">
        <v>767</v>
      </c>
      <c r="S113" s="168"/>
      <c r="T113" s="168"/>
      <c r="U113" s="175"/>
      <c r="V113" s="175"/>
      <c r="W113" s="171" t="s">
        <v>687</v>
      </c>
      <c r="X113" s="171"/>
      <c r="Y113" s="179" t="s">
        <v>1195</v>
      </c>
      <c r="Z113" s="210" t="s">
        <v>1436</v>
      </c>
      <c r="AA113" s="221"/>
      <c r="AB113" s="244"/>
      <c r="AC113" s="249"/>
    </row>
    <row r="114" spans="1:30" s="2" customFormat="1" ht="38.25" customHeight="1" x14ac:dyDescent="0.2">
      <c r="A114" s="214" t="s">
        <v>1194</v>
      </c>
      <c r="B114" s="205" t="s">
        <v>539</v>
      </c>
      <c r="C114" s="167" t="s">
        <v>1143</v>
      </c>
      <c r="D114" s="166">
        <v>100</v>
      </c>
      <c r="E114" s="166" t="s">
        <v>208</v>
      </c>
      <c r="F114" s="177" t="s">
        <v>3</v>
      </c>
      <c r="G114" s="177" t="s">
        <v>1196</v>
      </c>
      <c r="H114" s="177" t="s">
        <v>1197</v>
      </c>
      <c r="I114" s="168">
        <v>2</v>
      </c>
      <c r="J114" s="177">
        <v>47438</v>
      </c>
      <c r="K114" s="194" t="s">
        <v>477</v>
      </c>
      <c r="L114" s="168">
        <v>16</v>
      </c>
      <c r="M114" s="168">
        <v>0</v>
      </c>
      <c r="N114" s="168" t="s">
        <v>213</v>
      </c>
      <c r="O114" s="168" t="s">
        <v>211</v>
      </c>
      <c r="P114" s="168" t="s">
        <v>953</v>
      </c>
      <c r="Q114" s="170" t="s">
        <v>860</v>
      </c>
      <c r="R114" s="169" t="s">
        <v>492</v>
      </c>
      <c r="S114" s="168"/>
      <c r="T114" s="168"/>
      <c r="U114" s="168"/>
      <c r="V114" s="168"/>
      <c r="W114" s="171"/>
      <c r="X114" s="171" t="s">
        <v>716</v>
      </c>
      <c r="Y114" s="179" t="s">
        <v>1195</v>
      </c>
      <c r="Z114" s="210" t="s">
        <v>1026</v>
      </c>
      <c r="AA114" s="221"/>
      <c r="AB114" s="208"/>
      <c r="AC114" s="250" t="s">
        <v>1392</v>
      </c>
    </row>
    <row r="115" spans="1:30" s="2" customFormat="1" ht="39.75" customHeight="1" x14ac:dyDescent="0.2">
      <c r="A115" s="229"/>
      <c r="B115" s="166"/>
      <c r="C115" s="167"/>
      <c r="D115" s="166"/>
      <c r="E115" s="166"/>
      <c r="F115" s="177"/>
      <c r="G115" s="177"/>
      <c r="H115" s="168"/>
      <c r="I115" s="168"/>
      <c r="J115" s="175"/>
      <c r="K115" s="195"/>
      <c r="L115" s="168"/>
      <c r="M115" s="168"/>
      <c r="N115" s="168"/>
      <c r="O115" s="166"/>
      <c r="P115" s="168"/>
      <c r="Q115" s="168"/>
      <c r="R115" s="167"/>
      <c r="S115" s="168"/>
      <c r="T115" s="168"/>
      <c r="U115" s="168"/>
      <c r="V115" s="175"/>
      <c r="W115" s="171"/>
      <c r="X115" s="180"/>
      <c r="Y115" s="181"/>
      <c r="Z115" s="210" t="s">
        <v>1441</v>
      </c>
      <c r="AA115" s="208"/>
      <c r="AB115" s="208"/>
    </row>
    <row r="116" spans="1:30" s="2" customFormat="1" ht="42" customHeight="1" x14ac:dyDescent="0.2">
      <c r="A116" s="229"/>
      <c r="B116" s="166"/>
      <c r="C116" s="167"/>
      <c r="D116" s="166"/>
      <c r="E116" s="166"/>
      <c r="F116" s="177"/>
      <c r="G116" s="177"/>
      <c r="H116" s="168"/>
      <c r="I116" s="168"/>
      <c r="J116" s="175"/>
      <c r="K116" s="195"/>
      <c r="L116" s="168"/>
      <c r="M116" s="168"/>
      <c r="N116" s="168"/>
      <c r="O116" s="166"/>
      <c r="P116" s="168"/>
      <c r="Q116" s="168"/>
      <c r="R116" s="167"/>
      <c r="S116" s="168"/>
      <c r="T116" s="168"/>
      <c r="U116" s="168"/>
      <c r="V116" s="175"/>
      <c r="W116" s="171"/>
      <c r="X116" s="180"/>
      <c r="Y116" s="181"/>
      <c r="Z116" s="210"/>
      <c r="AA116" s="208"/>
      <c r="AB116" s="208"/>
    </row>
    <row r="117" spans="1:30" s="2" customFormat="1" ht="42.75" customHeight="1" x14ac:dyDescent="0.2">
      <c r="A117" s="229"/>
      <c r="B117" s="166"/>
      <c r="C117" s="167"/>
      <c r="D117" s="166"/>
      <c r="E117" s="166"/>
      <c r="F117" s="177"/>
      <c r="G117" s="177"/>
      <c r="H117" s="168"/>
      <c r="I117" s="168"/>
      <c r="J117" s="175"/>
      <c r="K117" s="195"/>
      <c r="L117" s="168"/>
      <c r="M117" s="168"/>
      <c r="N117" s="168"/>
      <c r="O117" s="166"/>
      <c r="P117" s="168"/>
      <c r="Q117" s="168"/>
      <c r="R117" s="167"/>
      <c r="S117" s="168"/>
      <c r="T117" s="168"/>
      <c r="U117" s="168"/>
      <c r="V117" s="175"/>
      <c r="W117" s="171"/>
      <c r="X117" s="180"/>
      <c r="Y117" s="181"/>
      <c r="Z117" s="210"/>
      <c r="AA117" s="208"/>
      <c r="AB117" s="208"/>
    </row>
    <row r="118" spans="1:30" s="2" customFormat="1" ht="38.25" customHeight="1" x14ac:dyDescent="0.2">
      <c r="A118" s="230" t="s">
        <v>451</v>
      </c>
      <c r="B118" s="182" t="s">
        <v>416</v>
      </c>
      <c r="C118" s="187"/>
      <c r="D118" s="178"/>
      <c r="E118" s="178"/>
      <c r="F118" s="175"/>
      <c r="G118" s="175"/>
      <c r="H118" s="175"/>
      <c r="I118" s="175">
        <v>1</v>
      </c>
      <c r="J118" s="175">
        <v>48480</v>
      </c>
      <c r="K118" s="195" t="s">
        <v>660</v>
      </c>
      <c r="L118" s="175">
        <v>24</v>
      </c>
      <c r="M118" s="175"/>
      <c r="N118" s="168" t="s">
        <v>213</v>
      </c>
      <c r="O118" s="168" t="s">
        <v>211</v>
      </c>
      <c r="P118" s="175" t="s">
        <v>964</v>
      </c>
      <c r="Q118" s="189" t="s">
        <v>860</v>
      </c>
      <c r="R118" s="199"/>
      <c r="S118" s="175" t="s">
        <v>877</v>
      </c>
      <c r="T118" s="175"/>
      <c r="U118" s="175"/>
      <c r="V118" s="175" t="s">
        <v>877</v>
      </c>
      <c r="W118" s="180" t="s">
        <v>749</v>
      </c>
      <c r="X118" s="180" t="s">
        <v>1342</v>
      </c>
      <c r="Y118" s="193" t="s">
        <v>799</v>
      </c>
      <c r="Z118" s="240" t="s">
        <v>1030</v>
      </c>
      <c r="AA118" s="208" t="s">
        <v>1055</v>
      </c>
      <c r="AB118" s="208" t="s">
        <v>1056</v>
      </c>
      <c r="AC118" s="250" t="s">
        <v>1392</v>
      </c>
    </row>
    <row r="119" spans="1:30" s="2" customFormat="1" ht="38.25" customHeight="1" x14ac:dyDescent="0.2">
      <c r="A119" s="230" t="s">
        <v>451</v>
      </c>
      <c r="B119" s="173" t="s">
        <v>416</v>
      </c>
      <c r="C119" s="167"/>
      <c r="D119" s="166"/>
      <c r="E119" s="166"/>
      <c r="F119" s="168"/>
      <c r="G119" s="168"/>
      <c r="H119" s="168"/>
      <c r="I119" s="168">
        <v>1</v>
      </c>
      <c r="J119" s="175">
        <v>47431</v>
      </c>
      <c r="K119" s="194" t="s">
        <v>548</v>
      </c>
      <c r="L119" s="168">
        <v>16</v>
      </c>
      <c r="M119" s="168"/>
      <c r="N119" s="168" t="s">
        <v>213</v>
      </c>
      <c r="O119" s="168" t="s">
        <v>211</v>
      </c>
      <c r="P119" s="168" t="s">
        <v>964</v>
      </c>
      <c r="Q119" s="170" t="s">
        <v>860</v>
      </c>
      <c r="R119" s="169"/>
      <c r="S119" s="168" t="s">
        <v>877</v>
      </c>
      <c r="T119" s="168"/>
      <c r="U119" s="168"/>
      <c r="V119" s="168" t="s">
        <v>877</v>
      </c>
      <c r="W119" s="171"/>
      <c r="X119" s="171" t="s">
        <v>1253</v>
      </c>
      <c r="Y119" s="193" t="s">
        <v>799</v>
      </c>
      <c r="Z119" s="238" t="s">
        <v>1375</v>
      </c>
      <c r="AA119" s="208" t="s">
        <v>917</v>
      </c>
      <c r="AB119" s="208" t="s">
        <v>918</v>
      </c>
      <c r="AC119" s="250" t="s">
        <v>1392</v>
      </c>
    </row>
    <row r="120" spans="1:30" s="2" customFormat="1" ht="38.25" customHeight="1" x14ac:dyDescent="0.2">
      <c r="A120" s="230" t="s">
        <v>451</v>
      </c>
      <c r="B120" s="182" t="s">
        <v>416</v>
      </c>
      <c r="C120" s="167" t="s">
        <v>1225</v>
      </c>
      <c r="D120" s="166" t="s">
        <v>738</v>
      </c>
      <c r="E120" s="166" t="s">
        <v>208</v>
      </c>
      <c r="F120" s="168" t="s">
        <v>3</v>
      </c>
      <c r="G120" s="168" t="s">
        <v>1054</v>
      </c>
      <c r="H120" s="168">
        <v>156</v>
      </c>
      <c r="I120" s="168">
        <v>2</v>
      </c>
      <c r="J120" s="175">
        <v>47911</v>
      </c>
      <c r="K120" s="195" t="s">
        <v>660</v>
      </c>
      <c r="L120" s="168">
        <v>16</v>
      </c>
      <c r="M120" s="175">
        <v>6</v>
      </c>
      <c r="N120" s="168" t="s">
        <v>213</v>
      </c>
      <c r="O120" s="168" t="s">
        <v>211</v>
      </c>
      <c r="P120" s="168" t="s">
        <v>964</v>
      </c>
      <c r="Q120" s="170" t="s">
        <v>860</v>
      </c>
      <c r="R120" s="170" t="s">
        <v>767</v>
      </c>
      <c r="S120" s="168" t="s">
        <v>877</v>
      </c>
      <c r="T120" s="168"/>
      <c r="U120" s="175"/>
      <c r="V120" s="175" t="s">
        <v>877</v>
      </c>
      <c r="W120" s="171" t="s">
        <v>696</v>
      </c>
      <c r="X120" s="171" t="s">
        <v>1236</v>
      </c>
      <c r="Y120" s="193" t="s">
        <v>799</v>
      </c>
      <c r="Z120" s="238" t="s">
        <v>1348</v>
      </c>
      <c r="AA120" s="208"/>
      <c r="AB120" s="208"/>
      <c r="AC120" s="251" t="s">
        <v>1395</v>
      </c>
      <c r="AD120" s="253"/>
    </row>
    <row r="121" spans="1:30" s="2" customFormat="1" ht="38.25" customHeight="1" x14ac:dyDescent="0.2">
      <c r="A121" s="230" t="s">
        <v>451</v>
      </c>
      <c r="B121" s="173" t="s">
        <v>416</v>
      </c>
      <c r="C121" s="167" t="s">
        <v>737</v>
      </c>
      <c r="D121" s="166" t="s">
        <v>743</v>
      </c>
      <c r="E121" s="166" t="s">
        <v>208</v>
      </c>
      <c r="F121" s="168" t="s">
        <v>3</v>
      </c>
      <c r="G121" s="168" t="s">
        <v>1154</v>
      </c>
      <c r="H121" s="168">
        <v>129</v>
      </c>
      <c r="I121" s="168">
        <v>2</v>
      </c>
      <c r="J121" s="175">
        <v>48481</v>
      </c>
      <c r="K121" s="194" t="s">
        <v>660</v>
      </c>
      <c r="L121" s="168">
        <v>32</v>
      </c>
      <c r="M121" s="168">
        <v>16</v>
      </c>
      <c r="N121" s="168" t="s">
        <v>213</v>
      </c>
      <c r="O121" s="168" t="s">
        <v>211</v>
      </c>
      <c r="P121" s="168" t="s">
        <v>964</v>
      </c>
      <c r="Q121" s="170" t="s">
        <v>860</v>
      </c>
      <c r="R121" s="170" t="s">
        <v>767</v>
      </c>
      <c r="S121" s="168" t="s">
        <v>877</v>
      </c>
      <c r="T121" s="168"/>
      <c r="U121" s="175"/>
      <c r="V121" s="175" t="s">
        <v>877</v>
      </c>
      <c r="W121" s="175" t="s">
        <v>749</v>
      </c>
      <c r="X121" s="180" t="s">
        <v>1339</v>
      </c>
      <c r="Y121" s="193" t="s">
        <v>799</v>
      </c>
      <c r="Z121" s="238" t="s">
        <v>1026</v>
      </c>
      <c r="AA121" s="208"/>
      <c r="AB121" s="208"/>
      <c r="AC121" s="250" t="s">
        <v>1392</v>
      </c>
    </row>
    <row r="122" spans="1:30" s="2" customFormat="1" ht="38.25" customHeight="1" x14ac:dyDescent="0.2">
      <c r="A122" s="230" t="s">
        <v>451</v>
      </c>
      <c r="B122" s="182" t="s">
        <v>416</v>
      </c>
      <c r="C122" s="187" t="s">
        <v>884</v>
      </c>
      <c r="D122" s="178" t="s">
        <v>743</v>
      </c>
      <c r="E122" s="178" t="s">
        <v>208</v>
      </c>
      <c r="F122" s="191" t="s">
        <v>3</v>
      </c>
      <c r="G122" s="191" t="s">
        <v>1054</v>
      </c>
      <c r="H122" s="175">
        <v>45</v>
      </c>
      <c r="I122" s="175">
        <v>1</v>
      </c>
      <c r="J122" s="175">
        <v>48479</v>
      </c>
      <c r="K122" s="195" t="s">
        <v>660</v>
      </c>
      <c r="L122" s="175">
        <v>16</v>
      </c>
      <c r="M122" s="175">
        <v>15</v>
      </c>
      <c r="N122" s="175"/>
      <c r="O122" s="168" t="s">
        <v>211</v>
      </c>
      <c r="P122" s="175" t="s">
        <v>964</v>
      </c>
      <c r="Q122" s="189"/>
      <c r="R122" s="189"/>
      <c r="S122" s="175" t="s">
        <v>877</v>
      </c>
      <c r="T122" s="175"/>
      <c r="U122" s="175"/>
      <c r="V122" s="175" t="s">
        <v>877</v>
      </c>
      <c r="W122" s="171" t="s">
        <v>749</v>
      </c>
      <c r="X122" s="180"/>
      <c r="Y122" s="193" t="s">
        <v>799</v>
      </c>
      <c r="Z122" s="240" t="s">
        <v>1034</v>
      </c>
      <c r="AA122" s="232" t="s">
        <v>1220</v>
      </c>
      <c r="AB122" s="208"/>
      <c r="AC122" s="250" t="s">
        <v>1392</v>
      </c>
    </row>
    <row r="123" spans="1:30" s="2" customFormat="1" ht="38.25" customHeight="1" x14ac:dyDescent="0.2">
      <c r="A123" s="230" t="s">
        <v>451</v>
      </c>
      <c r="B123" s="173" t="s">
        <v>416</v>
      </c>
      <c r="C123" s="167" t="s">
        <v>486</v>
      </c>
      <c r="D123" s="166">
        <v>140</v>
      </c>
      <c r="E123" s="166" t="s">
        <v>208</v>
      </c>
      <c r="F123" s="168" t="s">
        <v>3</v>
      </c>
      <c r="G123" s="168" t="s">
        <v>506</v>
      </c>
      <c r="H123" s="168">
        <v>327</v>
      </c>
      <c r="I123" s="168">
        <v>1</v>
      </c>
      <c r="J123" s="219">
        <v>44306</v>
      </c>
      <c r="K123" s="195" t="s">
        <v>515</v>
      </c>
      <c r="L123" s="168" t="s">
        <v>439</v>
      </c>
      <c r="M123" s="168">
        <v>0</v>
      </c>
      <c r="N123" s="166"/>
      <c r="O123" s="168"/>
      <c r="P123" s="168" t="s">
        <v>953</v>
      </c>
      <c r="Q123" s="170" t="s">
        <v>860</v>
      </c>
      <c r="R123" s="169" t="s">
        <v>435</v>
      </c>
      <c r="S123" s="168" t="s">
        <v>877</v>
      </c>
      <c r="T123" s="168">
        <v>0</v>
      </c>
      <c r="U123" s="175"/>
      <c r="V123" s="175" t="s">
        <v>877</v>
      </c>
      <c r="W123" s="171"/>
      <c r="X123" s="171" t="s">
        <v>1323</v>
      </c>
      <c r="Y123" s="193" t="s">
        <v>799</v>
      </c>
      <c r="Z123" s="238" t="s">
        <v>1016</v>
      </c>
      <c r="AA123" s="208" t="s">
        <v>1389</v>
      </c>
      <c r="AB123" s="208" t="s">
        <v>1390</v>
      </c>
    </row>
    <row r="124" spans="1:30" s="2" customFormat="1" ht="38.25" customHeight="1" x14ac:dyDescent="0.2">
      <c r="A124" s="230" t="s">
        <v>451</v>
      </c>
      <c r="B124" s="173" t="s">
        <v>416</v>
      </c>
      <c r="C124" s="167"/>
      <c r="D124" s="166"/>
      <c r="E124" s="166"/>
      <c r="F124" s="177"/>
      <c r="G124" s="177"/>
      <c r="H124" s="168"/>
      <c r="I124" s="168"/>
      <c r="J124" s="175">
        <v>44312</v>
      </c>
      <c r="K124" s="195"/>
      <c r="L124" s="168">
        <v>8</v>
      </c>
      <c r="M124" s="168"/>
      <c r="N124" s="168" t="s">
        <v>213</v>
      </c>
      <c r="O124" s="166"/>
      <c r="P124" s="168"/>
      <c r="Q124" s="168"/>
      <c r="R124" s="167"/>
      <c r="S124" s="175" t="s">
        <v>877</v>
      </c>
      <c r="T124" s="168"/>
      <c r="U124" s="168"/>
      <c r="V124" s="175" t="s">
        <v>1222</v>
      </c>
      <c r="W124" s="171"/>
      <c r="X124" s="180"/>
      <c r="Y124" s="193" t="s">
        <v>799</v>
      </c>
      <c r="Z124" s="231">
        <v>45986</v>
      </c>
      <c r="AA124" s="208"/>
      <c r="AB124" s="208"/>
    </row>
    <row r="125" spans="1:30" s="2" customFormat="1" ht="38.25" customHeight="1" x14ac:dyDescent="0.2">
      <c r="A125" s="230" t="s">
        <v>451</v>
      </c>
      <c r="B125" s="182" t="s">
        <v>416</v>
      </c>
      <c r="C125" s="187"/>
      <c r="D125" s="178"/>
      <c r="E125" s="178"/>
      <c r="F125" s="191"/>
      <c r="G125" s="191"/>
      <c r="H125" s="175"/>
      <c r="I125" s="175"/>
      <c r="J125" s="191">
        <v>47124</v>
      </c>
      <c r="K125" s="195" t="s">
        <v>515</v>
      </c>
      <c r="L125" s="175">
        <v>16</v>
      </c>
      <c r="M125" s="175"/>
      <c r="N125" s="168"/>
      <c r="O125" s="178"/>
      <c r="P125" s="175" t="s">
        <v>953</v>
      </c>
      <c r="Q125" s="168"/>
      <c r="R125" s="199"/>
      <c r="S125" s="175" t="s">
        <v>877</v>
      </c>
      <c r="T125" s="175"/>
      <c r="U125" s="175"/>
      <c r="V125" s="175" t="s">
        <v>1222</v>
      </c>
      <c r="W125" s="180"/>
      <c r="X125" s="180" t="s">
        <v>1332</v>
      </c>
      <c r="Y125" s="193" t="s">
        <v>799</v>
      </c>
      <c r="Z125" s="231">
        <v>45986</v>
      </c>
      <c r="AA125" s="208"/>
      <c r="AB125" s="208"/>
      <c r="AC125" s="249" t="s">
        <v>1412</v>
      </c>
    </row>
    <row r="126" spans="1:30" s="2" customFormat="1" ht="38.25" customHeight="1" x14ac:dyDescent="0.2">
      <c r="A126" s="230" t="s">
        <v>451</v>
      </c>
      <c r="B126" s="173" t="s">
        <v>416</v>
      </c>
      <c r="C126" s="167"/>
      <c r="D126" s="166"/>
      <c r="E126" s="166"/>
      <c r="F126" s="177"/>
      <c r="G126" s="177"/>
      <c r="H126" s="168"/>
      <c r="I126" s="168"/>
      <c r="J126" s="175">
        <v>48152</v>
      </c>
      <c r="K126" s="195"/>
      <c r="L126" s="168">
        <v>16</v>
      </c>
      <c r="M126" s="168"/>
      <c r="N126" s="168"/>
      <c r="O126" s="166"/>
      <c r="P126" s="168"/>
      <c r="Q126" s="168"/>
      <c r="R126" s="167"/>
      <c r="S126" s="175" t="s">
        <v>877</v>
      </c>
      <c r="T126" s="168"/>
      <c r="U126" s="168"/>
      <c r="V126" s="175" t="s">
        <v>1222</v>
      </c>
      <c r="W126" s="171"/>
      <c r="X126" s="180"/>
      <c r="Y126" s="193" t="s">
        <v>799</v>
      </c>
      <c r="Z126" s="231">
        <v>45986</v>
      </c>
      <c r="AA126" s="208"/>
      <c r="AB126" s="208"/>
    </row>
    <row r="127" spans="1:30" s="2" customFormat="1" ht="38.25" customHeight="1" x14ac:dyDescent="0.2">
      <c r="A127" s="230" t="s">
        <v>451</v>
      </c>
      <c r="B127" s="173" t="s">
        <v>416</v>
      </c>
      <c r="C127" s="167"/>
      <c r="D127" s="166"/>
      <c r="E127" s="166"/>
      <c r="F127" s="177"/>
      <c r="G127" s="177"/>
      <c r="H127" s="168"/>
      <c r="I127" s="168"/>
      <c r="J127" s="175">
        <v>46547</v>
      </c>
      <c r="K127" s="195"/>
      <c r="L127" s="168">
        <v>8</v>
      </c>
      <c r="M127" s="168"/>
      <c r="N127" s="168" t="s">
        <v>213</v>
      </c>
      <c r="O127" s="166"/>
      <c r="P127" s="168"/>
      <c r="Q127" s="168"/>
      <c r="R127" s="167"/>
      <c r="S127" s="175" t="s">
        <v>877</v>
      </c>
      <c r="T127" s="168"/>
      <c r="U127" s="168"/>
      <c r="V127" s="175" t="s">
        <v>1222</v>
      </c>
      <c r="W127" s="171"/>
      <c r="X127" s="180"/>
      <c r="Y127" s="193" t="s">
        <v>799</v>
      </c>
      <c r="Z127" s="231">
        <v>45986</v>
      </c>
      <c r="AA127" s="208"/>
      <c r="AB127" s="208"/>
    </row>
    <row r="128" spans="1:30" s="2" customFormat="1" ht="38.25" customHeight="1" x14ac:dyDescent="0.2">
      <c r="A128" s="230" t="s">
        <v>451</v>
      </c>
      <c r="B128" s="173" t="s">
        <v>416</v>
      </c>
      <c r="C128" s="167"/>
      <c r="D128" s="166"/>
      <c r="E128" s="166"/>
      <c r="F128" s="168"/>
      <c r="G128" s="168"/>
      <c r="H128" s="168"/>
      <c r="I128" s="168"/>
      <c r="J128" s="175">
        <v>47380</v>
      </c>
      <c r="K128" s="195"/>
      <c r="L128" s="168">
        <v>16</v>
      </c>
      <c r="M128" s="168"/>
      <c r="N128" s="168"/>
      <c r="O128" s="166" t="s">
        <v>211</v>
      </c>
      <c r="P128" s="168" t="s">
        <v>953</v>
      </c>
      <c r="Q128" s="170" t="s">
        <v>860</v>
      </c>
      <c r="R128" s="170" t="s">
        <v>767</v>
      </c>
      <c r="S128" s="175" t="s">
        <v>877</v>
      </c>
      <c r="T128" s="168"/>
      <c r="U128" s="168"/>
      <c r="V128" s="175" t="s">
        <v>877</v>
      </c>
      <c r="W128" s="171"/>
      <c r="X128" s="171" t="s">
        <v>1252</v>
      </c>
      <c r="Y128" s="193" t="s">
        <v>799</v>
      </c>
      <c r="Z128" s="231">
        <v>45986</v>
      </c>
      <c r="AA128" s="232" t="s">
        <v>1220</v>
      </c>
      <c r="AB128" s="208"/>
    </row>
    <row r="129" spans="1:28" s="2" customFormat="1" ht="43.5" customHeight="1" x14ac:dyDescent="0.2">
      <c r="A129" s="230" t="s">
        <v>451</v>
      </c>
      <c r="B129" s="182" t="s">
        <v>416</v>
      </c>
      <c r="C129" s="187"/>
      <c r="D129" s="178"/>
      <c r="E129" s="166"/>
      <c r="F129" s="191"/>
      <c r="G129" s="191"/>
      <c r="H129" s="175"/>
      <c r="I129" s="175"/>
      <c r="J129" s="175">
        <v>41902</v>
      </c>
      <c r="K129" s="195" t="s">
        <v>515</v>
      </c>
      <c r="L129" s="175">
        <v>16</v>
      </c>
      <c r="M129" s="175"/>
      <c r="N129" s="168" t="s">
        <v>213</v>
      </c>
      <c r="O129" s="178" t="s">
        <v>211</v>
      </c>
      <c r="P129" s="175" t="s">
        <v>953</v>
      </c>
      <c r="Q129" s="189" t="s">
        <v>860</v>
      </c>
      <c r="R129" s="189" t="s">
        <v>474</v>
      </c>
      <c r="S129" s="175" t="s">
        <v>877</v>
      </c>
      <c r="T129" s="175"/>
      <c r="U129" s="175"/>
      <c r="V129" s="175" t="s">
        <v>877</v>
      </c>
      <c r="W129" s="180"/>
      <c r="X129" s="180" t="s">
        <v>1258</v>
      </c>
      <c r="Y129" s="193" t="s">
        <v>799</v>
      </c>
      <c r="Z129" s="231">
        <v>45986</v>
      </c>
      <c r="AA129" s="208"/>
      <c r="AB129" s="208"/>
    </row>
    <row r="130" spans="1:28" s="2" customFormat="1" ht="38.25" customHeight="1" x14ac:dyDescent="0.2">
      <c r="A130" s="230" t="s">
        <v>451</v>
      </c>
      <c r="B130" s="166" t="s">
        <v>76</v>
      </c>
      <c r="C130" s="167"/>
      <c r="D130" s="166"/>
      <c r="E130" s="166"/>
      <c r="F130" s="177"/>
      <c r="G130" s="177"/>
      <c r="H130" s="168"/>
      <c r="I130" s="168"/>
      <c r="J130" s="175">
        <v>28577</v>
      </c>
      <c r="K130" s="195"/>
      <c r="L130" s="168">
        <v>16</v>
      </c>
      <c r="M130" s="168"/>
      <c r="N130" s="168" t="s">
        <v>213</v>
      </c>
      <c r="O130" s="166"/>
      <c r="P130" s="168"/>
      <c r="Q130" s="168"/>
      <c r="R130" s="167"/>
      <c r="S130" s="175" t="s">
        <v>877</v>
      </c>
      <c r="T130" s="168"/>
      <c r="U130" s="168"/>
      <c r="V130" s="175" t="s">
        <v>1222</v>
      </c>
      <c r="W130" s="171"/>
      <c r="X130" s="180"/>
      <c r="Y130" s="193" t="s">
        <v>799</v>
      </c>
      <c r="Z130" s="231">
        <v>45986</v>
      </c>
      <c r="AA130" s="208" t="s">
        <v>1386</v>
      </c>
      <c r="AB130" s="208" t="s">
        <v>1387</v>
      </c>
    </row>
    <row r="131" spans="1:28" s="2" customFormat="1" ht="38.25" customHeight="1" x14ac:dyDescent="0.2">
      <c r="A131" s="230" t="s">
        <v>451</v>
      </c>
      <c r="B131" s="205" t="s">
        <v>539</v>
      </c>
      <c r="C131" s="167"/>
      <c r="D131" s="166"/>
      <c r="E131" s="166"/>
      <c r="F131" s="177"/>
      <c r="G131" s="177"/>
      <c r="H131" s="168"/>
      <c r="I131" s="168"/>
      <c r="J131" s="175">
        <v>47382</v>
      </c>
      <c r="K131" s="195"/>
      <c r="L131" s="168">
        <v>4</v>
      </c>
      <c r="M131" s="168"/>
      <c r="N131" s="168" t="s">
        <v>213</v>
      </c>
      <c r="O131" s="166"/>
      <c r="P131" s="168" t="s">
        <v>953</v>
      </c>
      <c r="Q131" s="168"/>
      <c r="R131" s="167"/>
      <c r="S131" s="175" t="s">
        <v>877</v>
      </c>
      <c r="T131" s="168"/>
      <c r="U131" s="168"/>
      <c r="V131" s="175" t="s">
        <v>1222</v>
      </c>
      <c r="W131" s="171"/>
      <c r="X131" s="180" t="s">
        <v>1235</v>
      </c>
      <c r="Y131" s="193" t="s">
        <v>799</v>
      </c>
      <c r="Z131" s="231">
        <v>45986</v>
      </c>
      <c r="AA131" s="208"/>
      <c r="AB131" s="208"/>
    </row>
    <row r="132" spans="1:28" s="2" customFormat="1" ht="38.25" customHeight="1" x14ac:dyDescent="0.2">
      <c r="A132" s="230" t="s">
        <v>451</v>
      </c>
      <c r="B132" s="173" t="s">
        <v>416</v>
      </c>
      <c r="C132" s="167"/>
      <c r="D132" s="166"/>
      <c r="E132" s="166"/>
      <c r="F132" s="177"/>
      <c r="G132" s="177"/>
      <c r="H132" s="168"/>
      <c r="I132" s="168"/>
      <c r="J132" s="175">
        <v>47118</v>
      </c>
      <c r="K132" s="195"/>
      <c r="L132" s="168">
        <v>16</v>
      </c>
      <c r="M132" s="168"/>
      <c r="N132" s="168"/>
      <c r="O132" s="166"/>
      <c r="P132" s="168"/>
      <c r="Q132" s="168"/>
      <c r="R132" s="167"/>
      <c r="S132" s="175" t="s">
        <v>877</v>
      </c>
      <c r="T132" s="168"/>
      <c r="U132" s="168"/>
      <c r="V132" s="175" t="s">
        <v>1222</v>
      </c>
      <c r="W132" s="171"/>
      <c r="X132" s="180"/>
      <c r="Y132" s="193" t="s">
        <v>799</v>
      </c>
      <c r="Z132" s="231">
        <v>45986</v>
      </c>
      <c r="AA132" s="208"/>
      <c r="AB132" s="208"/>
    </row>
    <row r="133" spans="1:28" s="2" customFormat="1" ht="38.25" customHeight="1" x14ac:dyDescent="0.2">
      <c r="A133" s="230" t="s">
        <v>451</v>
      </c>
      <c r="B133" s="205" t="s">
        <v>539</v>
      </c>
      <c r="C133" s="167"/>
      <c r="D133" s="166"/>
      <c r="E133" s="166"/>
      <c r="F133" s="177"/>
      <c r="G133" s="177"/>
      <c r="H133" s="168"/>
      <c r="I133" s="168"/>
      <c r="J133" s="175">
        <v>47383</v>
      </c>
      <c r="K133" s="195"/>
      <c r="L133" s="168">
        <v>4</v>
      </c>
      <c r="M133" s="168"/>
      <c r="N133" s="168" t="s">
        <v>213</v>
      </c>
      <c r="O133" s="166"/>
      <c r="P133" s="168" t="s">
        <v>953</v>
      </c>
      <c r="Q133" s="168"/>
      <c r="R133" s="167"/>
      <c r="S133" s="175" t="s">
        <v>877</v>
      </c>
      <c r="T133" s="168"/>
      <c r="U133" s="168"/>
      <c r="V133" s="175" t="s">
        <v>1222</v>
      </c>
      <c r="W133" s="171"/>
      <c r="X133" s="180" t="s">
        <v>1233</v>
      </c>
      <c r="Y133" s="193" t="s">
        <v>799</v>
      </c>
      <c r="Z133" s="231">
        <v>45986</v>
      </c>
      <c r="AA133" s="208"/>
      <c r="AB133" s="208"/>
    </row>
    <row r="134" spans="1:28" s="2" customFormat="1" ht="38.25" customHeight="1" x14ac:dyDescent="0.2">
      <c r="A134" s="230" t="s">
        <v>451</v>
      </c>
      <c r="B134" s="205" t="s">
        <v>539</v>
      </c>
      <c r="C134" s="167"/>
      <c r="D134" s="166"/>
      <c r="E134" s="166"/>
      <c r="F134" s="177"/>
      <c r="G134" s="177"/>
      <c r="H134" s="168"/>
      <c r="I134" s="168"/>
      <c r="J134" s="175">
        <v>47511</v>
      </c>
      <c r="K134" s="195"/>
      <c r="L134" s="168">
        <v>4</v>
      </c>
      <c r="M134" s="168"/>
      <c r="N134" s="168"/>
      <c r="O134" s="166"/>
      <c r="P134" s="168" t="s">
        <v>953</v>
      </c>
      <c r="Q134" s="168"/>
      <c r="R134" s="167"/>
      <c r="S134" s="175" t="s">
        <v>877</v>
      </c>
      <c r="T134" s="168"/>
      <c r="U134" s="168"/>
      <c r="V134" s="175" t="s">
        <v>1222</v>
      </c>
      <c r="W134" s="171"/>
      <c r="X134" s="180" t="s">
        <v>1234</v>
      </c>
      <c r="Y134" s="193" t="s">
        <v>799</v>
      </c>
      <c r="Z134" s="231">
        <v>45986</v>
      </c>
      <c r="AA134" s="225" t="s">
        <v>1228</v>
      </c>
      <c r="AB134" s="208"/>
    </row>
    <row r="135" spans="1:28" s="2" customFormat="1" ht="38.25" customHeight="1" x14ac:dyDescent="0.2">
      <c r="A135" s="230" t="s">
        <v>451</v>
      </c>
      <c r="B135" s="166" t="s">
        <v>76</v>
      </c>
      <c r="C135" s="167"/>
      <c r="D135" s="166"/>
      <c r="E135" s="166"/>
      <c r="F135" s="177"/>
      <c r="G135" s="177"/>
      <c r="H135" s="168"/>
      <c r="I135" s="168"/>
      <c r="J135" s="175">
        <v>27524</v>
      </c>
      <c r="K135" s="195"/>
      <c r="L135" s="168">
        <v>16</v>
      </c>
      <c r="M135" s="168"/>
      <c r="N135" s="168"/>
      <c r="O135" s="166"/>
      <c r="P135" s="168" t="s">
        <v>224</v>
      </c>
      <c r="Q135" s="168"/>
      <c r="R135" s="167"/>
      <c r="S135" s="168"/>
      <c r="T135" s="168"/>
      <c r="U135" s="168"/>
      <c r="V135" s="175"/>
      <c r="W135" s="171"/>
      <c r="X135" s="180"/>
      <c r="Y135" s="193" t="s">
        <v>799</v>
      </c>
      <c r="Z135" s="231">
        <v>45986</v>
      </c>
      <c r="AA135" s="225" t="s">
        <v>453</v>
      </c>
      <c r="AB135" s="225" t="s">
        <v>1349</v>
      </c>
    </row>
    <row r="136" spans="1:28" s="2" customFormat="1" ht="38.25" customHeight="1" x14ac:dyDescent="0.2">
      <c r="A136" s="230" t="s">
        <v>451</v>
      </c>
      <c r="B136" s="173" t="s">
        <v>416</v>
      </c>
      <c r="C136" s="167"/>
      <c r="D136" s="166"/>
      <c r="E136" s="166"/>
      <c r="F136" s="177"/>
      <c r="G136" s="177"/>
      <c r="H136" s="168"/>
      <c r="I136" s="168"/>
      <c r="J136" s="175">
        <v>47434</v>
      </c>
      <c r="K136" s="195"/>
      <c r="L136" s="168">
        <v>16</v>
      </c>
      <c r="M136" s="168"/>
      <c r="N136" s="168" t="s">
        <v>213</v>
      </c>
      <c r="O136" s="166"/>
      <c r="P136" s="168" t="s">
        <v>953</v>
      </c>
      <c r="Q136" s="168"/>
      <c r="R136" s="167"/>
      <c r="S136" s="175" t="s">
        <v>877</v>
      </c>
      <c r="T136" s="168"/>
      <c r="U136" s="168"/>
      <c r="V136" s="175" t="s">
        <v>1222</v>
      </c>
      <c r="W136" s="171"/>
      <c r="X136" s="180"/>
      <c r="Y136" s="193" t="s">
        <v>799</v>
      </c>
      <c r="Z136" s="231">
        <v>45986</v>
      </c>
      <c r="AA136" s="208"/>
      <c r="AB136" s="208"/>
    </row>
    <row r="137" spans="1:28" s="2" customFormat="1" ht="38.25" customHeight="1" x14ac:dyDescent="0.2">
      <c r="A137" s="230" t="s">
        <v>451</v>
      </c>
      <c r="B137" s="166" t="s">
        <v>76</v>
      </c>
      <c r="C137" s="167"/>
      <c r="D137" s="166"/>
      <c r="E137" s="166"/>
      <c r="F137" s="177"/>
      <c r="G137" s="177"/>
      <c r="H137" s="168"/>
      <c r="I137" s="168"/>
      <c r="J137" s="175">
        <v>32540</v>
      </c>
      <c r="K137" s="195"/>
      <c r="L137" s="168">
        <v>16</v>
      </c>
      <c r="M137" s="168"/>
      <c r="N137" s="168" t="s">
        <v>213</v>
      </c>
      <c r="O137" s="166"/>
      <c r="P137" s="168" t="s">
        <v>224</v>
      </c>
      <c r="Q137" s="168"/>
      <c r="R137" s="167"/>
      <c r="S137" s="175" t="s">
        <v>877</v>
      </c>
      <c r="T137" s="168"/>
      <c r="U137" s="168"/>
      <c r="V137" s="175" t="s">
        <v>1222</v>
      </c>
      <c r="W137" s="171"/>
      <c r="X137" s="180"/>
      <c r="Y137" s="193" t="s">
        <v>799</v>
      </c>
      <c r="Z137" s="231">
        <v>45986</v>
      </c>
      <c r="AA137" s="208"/>
      <c r="AB137" s="208"/>
    </row>
    <row r="138" spans="1:28" s="2" customFormat="1" ht="38.25" customHeight="1" x14ac:dyDescent="0.2">
      <c r="A138" s="230" t="s">
        <v>451</v>
      </c>
      <c r="B138" s="166" t="s">
        <v>76</v>
      </c>
      <c r="C138" s="167"/>
      <c r="D138" s="166"/>
      <c r="E138" s="166"/>
      <c r="F138" s="177"/>
      <c r="G138" s="177"/>
      <c r="H138" s="168"/>
      <c r="I138" s="168"/>
      <c r="J138" s="175">
        <v>29795</v>
      </c>
      <c r="K138" s="195"/>
      <c r="L138" s="168">
        <v>16</v>
      </c>
      <c r="M138" s="168"/>
      <c r="N138" s="168" t="s">
        <v>213</v>
      </c>
      <c r="O138" s="166"/>
      <c r="P138" s="168" t="s">
        <v>224</v>
      </c>
      <c r="Q138" s="168"/>
      <c r="R138" s="167"/>
      <c r="S138" s="175" t="s">
        <v>877</v>
      </c>
      <c r="T138" s="168"/>
      <c r="U138" s="168"/>
      <c r="V138" s="175" t="s">
        <v>1222</v>
      </c>
      <c r="W138" s="171"/>
      <c r="X138" s="180" t="s">
        <v>1231</v>
      </c>
      <c r="Y138" s="193" t="s">
        <v>799</v>
      </c>
      <c r="Z138" s="231">
        <v>45986</v>
      </c>
      <c r="AA138" s="208"/>
      <c r="AB138" s="208"/>
    </row>
    <row r="139" spans="1:28" s="2" customFormat="1" ht="38.25" customHeight="1" x14ac:dyDescent="0.2">
      <c r="A139" s="230" t="s">
        <v>451</v>
      </c>
      <c r="B139" s="173" t="s">
        <v>416</v>
      </c>
      <c r="C139" s="234" t="s">
        <v>1239</v>
      </c>
      <c r="D139" s="166"/>
      <c r="E139" s="166"/>
      <c r="F139" s="177"/>
      <c r="G139" s="177"/>
      <c r="H139" s="168"/>
      <c r="I139" s="168"/>
      <c r="J139" s="175">
        <v>46428</v>
      </c>
      <c r="K139" s="195"/>
      <c r="L139" s="168">
        <v>0</v>
      </c>
      <c r="M139" s="168"/>
      <c r="N139" s="168"/>
      <c r="O139" s="166"/>
      <c r="P139" s="168"/>
      <c r="Q139" s="168"/>
      <c r="R139" s="167"/>
      <c r="S139" s="168"/>
      <c r="T139" s="168"/>
      <c r="U139" s="168"/>
      <c r="V139" s="175"/>
      <c r="W139" s="171"/>
      <c r="X139" s="180"/>
      <c r="Y139" s="193" t="s">
        <v>1219</v>
      </c>
      <c r="Z139" s="231">
        <v>45008</v>
      </c>
      <c r="AA139" s="208"/>
      <c r="AB139" s="208"/>
    </row>
    <row r="140" spans="1:28" s="2" customFormat="1" ht="38.25" customHeight="1" x14ac:dyDescent="0.2">
      <c r="A140" s="230" t="s">
        <v>451</v>
      </c>
      <c r="B140" s="173" t="s">
        <v>416</v>
      </c>
      <c r="C140" s="234" t="s">
        <v>1239</v>
      </c>
      <c r="D140" s="166"/>
      <c r="E140" s="166"/>
      <c r="F140" s="177"/>
      <c r="G140" s="177"/>
      <c r="H140" s="168"/>
      <c r="I140" s="168"/>
      <c r="J140" s="175">
        <v>47454</v>
      </c>
      <c r="K140" s="195"/>
      <c r="L140" s="168">
        <v>0</v>
      </c>
      <c r="M140" s="168"/>
      <c r="N140" s="168"/>
      <c r="O140" s="166"/>
      <c r="P140" s="168"/>
      <c r="Q140" s="168"/>
      <c r="R140" s="167"/>
      <c r="S140" s="168"/>
      <c r="T140" s="168"/>
      <c r="U140" s="168"/>
      <c r="V140" s="175"/>
      <c r="W140" s="171"/>
      <c r="X140" s="180" t="s">
        <v>1242</v>
      </c>
      <c r="Y140" s="193" t="s">
        <v>1219</v>
      </c>
      <c r="Z140" s="231">
        <v>45008</v>
      </c>
      <c r="AA140" s="208"/>
      <c r="AB140" s="208"/>
    </row>
    <row r="141" spans="1:28" s="2" customFormat="1" ht="38.25" customHeight="1" x14ac:dyDescent="0.2">
      <c r="A141" s="230" t="s">
        <v>451</v>
      </c>
      <c r="B141" s="173" t="s">
        <v>416</v>
      </c>
      <c r="C141" s="234" t="s">
        <v>1239</v>
      </c>
      <c r="D141" s="166"/>
      <c r="E141" s="166"/>
      <c r="F141" s="177"/>
      <c r="G141" s="177"/>
      <c r="H141" s="168"/>
      <c r="I141" s="168"/>
      <c r="J141" s="175">
        <v>47455</v>
      </c>
      <c r="K141" s="195"/>
      <c r="L141" s="168">
        <v>0</v>
      </c>
      <c r="M141" s="168"/>
      <c r="N141" s="168"/>
      <c r="O141" s="166"/>
      <c r="P141" s="168"/>
      <c r="Q141" s="168"/>
      <c r="R141" s="167"/>
      <c r="S141" s="168"/>
      <c r="T141" s="168"/>
      <c r="U141" s="168"/>
      <c r="V141" s="175"/>
      <c r="W141" s="171"/>
      <c r="X141" s="180" t="s">
        <v>1238</v>
      </c>
      <c r="Y141" s="193" t="s">
        <v>1219</v>
      </c>
      <c r="Z141" s="231">
        <v>45008</v>
      </c>
      <c r="AA141" s="208"/>
      <c r="AB141" s="208"/>
    </row>
    <row r="142" spans="1:28" s="2" customFormat="1" ht="38.25" customHeight="1" x14ac:dyDescent="0.2">
      <c r="A142" s="230" t="s">
        <v>451</v>
      </c>
      <c r="B142" s="173" t="s">
        <v>416</v>
      </c>
      <c r="C142" s="234" t="s">
        <v>1239</v>
      </c>
      <c r="D142" s="166"/>
      <c r="E142" s="166"/>
      <c r="F142" s="177"/>
      <c r="G142" s="177"/>
      <c r="H142" s="168"/>
      <c r="I142" s="168"/>
      <c r="J142" s="175">
        <v>46180</v>
      </c>
      <c r="K142" s="195"/>
      <c r="L142" s="168">
        <v>0</v>
      </c>
      <c r="M142" s="168"/>
      <c r="N142" s="168"/>
      <c r="O142" s="166"/>
      <c r="P142" s="168"/>
      <c r="Q142" s="168"/>
      <c r="R142" s="167"/>
      <c r="S142" s="168"/>
      <c r="T142" s="168"/>
      <c r="U142" s="168"/>
      <c r="V142" s="175"/>
      <c r="W142" s="171"/>
      <c r="X142" s="180"/>
      <c r="Y142" s="193" t="s">
        <v>1219</v>
      </c>
      <c r="Z142" s="231">
        <v>45008</v>
      </c>
      <c r="AA142" s="208"/>
      <c r="AB142" s="208"/>
    </row>
    <row r="143" spans="1:28" s="2" customFormat="1" ht="38.25" customHeight="1" x14ac:dyDescent="0.2">
      <c r="A143" s="230" t="s">
        <v>451</v>
      </c>
      <c r="B143" s="173" t="s">
        <v>416</v>
      </c>
      <c r="C143" s="234" t="s">
        <v>1239</v>
      </c>
      <c r="D143" s="166"/>
      <c r="E143" s="166"/>
      <c r="F143" s="177"/>
      <c r="G143" s="177"/>
      <c r="H143" s="168"/>
      <c r="I143" s="168"/>
      <c r="J143" s="175">
        <v>46181</v>
      </c>
      <c r="K143" s="195"/>
      <c r="L143" s="168">
        <v>0</v>
      </c>
      <c r="M143" s="168"/>
      <c r="N143" s="168"/>
      <c r="O143" s="166"/>
      <c r="P143" s="168"/>
      <c r="Q143" s="168"/>
      <c r="R143" s="167"/>
      <c r="S143" s="168"/>
      <c r="T143" s="168"/>
      <c r="U143" s="168"/>
      <c r="V143" s="175"/>
      <c r="W143" s="171"/>
      <c r="X143" s="180"/>
      <c r="Y143" s="193" t="s">
        <v>1219</v>
      </c>
      <c r="Z143" s="231">
        <v>45008</v>
      </c>
      <c r="AA143" s="208"/>
      <c r="AB143" s="208"/>
    </row>
    <row r="144" spans="1:28" s="2" customFormat="1" ht="38.25" customHeight="1" x14ac:dyDescent="0.2">
      <c r="A144" s="230" t="s">
        <v>451</v>
      </c>
      <c r="B144" s="173" t="s">
        <v>416</v>
      </c>
      <c r="C144" s="234" t="s">
        <v>1239</v>
      </c>
      <c r="D144" s="166"/>
      <c r="E144" s="166"/>
      <c r="F144" s="177"/>
      <c r="G144" s="177"/>
      <c r="H144" s="168"/>
      <c r="I144" s="168"/>
      <c r="J144" s="175">
        <v>45796</v>
      </c>
      <c r="K144" s="195"/>
      <c r="L144" s="168">
        <v>0</v>
      </c>
      <c r="M144" s="168"/>
      <c r="N144" s="168"/>
      <c r="O144" s="166"/>
      <c r="P144" s="168"/>
      <c r="Q144" s="168"/>
      <c r="R144" s="167"/>
      <c r="S144" s="168"/>
      <c r="T144" s="168"/>
      <c r="U144" s="168"/>
      <c r="V144" s="175"/>
      <c r="W144" s="171"/>
      <c r="X144" s="180" t="s">
        <v>1241</v>
      </c>
      <c r="Y144" s="193" t="s">
        <v>1219</v>
      </c>
      <c r="Z144" s="231">
        <v>45008</v>
      </c>
      <c r="AA144" s="208"/>
      <c r="AB144" s="208"/>
    </row>
    <row r="145" spans="1:29" ht="38.25" customHeight="1" x14ac:dyDescent="0.2">
      <c r="A145" s="229"/>
      <c r="B145" s="166"/>
      <c r="C145" s="167"/>
      <c r="D145" s="166"/>
      <c r="E145" s="166"/>
      <c r="F145" s="177"/>
      <c r="G145" s="177"/>
      <c r="H145" s="168"/>
      <c r="I145" s="168"/>
      <c r="J145" s="175"/>
      <c r="K145" s="195"/>
      <c r="L145" s="168"/>
      <c r="M145" s="168"/>
      <c r="N145" s="168"/>
      <c r="O145" s="166"/>
      <c r="P145" s="168"/>
      <c r="Q145" s="168"/>
      <c r="R145" s="167"/>
      <c r="S145" s="168"/>
      <c r="T145" s="168"/>
      <c r="U145" s="168"/>
      <c r="V145" s="175"/>
      <c r="W145" s="171"/>
      <c r="X145" s="180"/>
      <c r="Y145" s="181"/>
      <c r="Z145" s="210"/>
      <c r="AA145" s="208"/>
      <c r="AB145" s="208"/>
    </row>
    <row r="146" spans="1:29" ht="38.25" customHeight="1" x14ac:dyDescent="0.2">
      <c r="A146" s="229"/>
      <c r="B146" s="166"/>
      <c r="C146" s="167"/>
      <c r="D146" s="166"/>
      <c r="E146" s="166"/>
      <c r="F146" s="177"/>
      <c r="G146" s="177"/>
      <c r="H146" s="168"/>
      <c r="I146" s="168"/>
      <c r="J146" s="175"/>
      <c r="K146" s="195"/>
      <c r="L146" s="168"/>
      <c r="M146" s="168"/>
      <c r="N146" s="168"/>
      <c r="O146" s="166"/>
      <c r="P146" s="168"/>
      <c r="Q146" s="168"/>
      <c r="R146" s="167"/>
      <c r="S146" s="168"/>
      <c r="T146" s="168"/>
      <c r="U146" s="168"/>
      <c r="V146" s="175"/>
      <c r="W146" s="171"/>
      <c r="X146" s="180"/>
      <c r="Y146" s="181"/>
      <c r="Z146" s="210"/>
      <c r="AA146" s="208"/>
      <c r="AB146" s="208"/>
    </row>
    <row r="147" spans="1:29" s="26" customFormat="1" ht="37.5" customHeight="1" x14ac:dyDescent="0.2">
      <c r="A147" s="222" t="s">
        <v>1043</v>
      </c>
      <c r="B147" s="166" t="s">
        <v>1040</v>
      </c>
      <c r="C147" s="167" t="s">
        <v>850</v>
      </c>
      <c r="D147" s="166">
        <v>155</v>
      </c>
      <c r="E147" s="166" t="s">
        <v>708</v>
      </c>
      <c r="F147" s="168" t="s">
        <v>176</v>
      </c>
      <c r="G147" s="168" t="s">
        <v>536</v>
      </c>
      <c r="H147" s="168" t="s">
        <v>1046</v>
      </c>
      <c r="I147" s="168">
        <v>1</v>
      </c>
      <c r="J147" s="175"/>
      <c r="K147" s="18"/>
      <c r="L147" s="168"/>
      <c r="M147" s="168"/>
      <c r="N147" s="166"/>
      <c r="O147" s="166"/>
      <c r="P147" s="168" t="s">
        <v>964</v>
      </c>
      <c r="Q147" s="167"/>
      <c r="R147" s="167"/>
      <c r="S147" s="168" t="s">
        <v>875</v>
      </c>
      <c r="T147" s="168"/>
      <c r="U147" s="168"/>
      <c r="V147" s="168" t="s">
        <v>875</v>
      </c>
      <c r="W147" s="171"/>
      <c r="X147" s="171" t="s">
        <v>1044</v>
      </c>
      <c r="Y147" s="193" t="s">
        <v>1219</v>
      </c>
      <c r="Z147" s="210" t="s">
        <v>1053</v>
      </c>
      <c r="AA147" s="208" t="s">
        <v>1128</v>
      </c>
      <c r="AB147" s="182" t="s">
        <v>1199</v>
      </c>
    </row>
    <row r="148" spans="1:29" s="2" customFormat="1" ht="38.25" customHeight="1" x14ac:dyDescent="0.2">
      <c r="A148" s="223" t="s">
        <v>1045</v>
      </c>
      <c r="B148" s="178" t="s">
        <v>1040</v>
      </c>
      <c r="C148" s="187" t="s">
        <v>850</v>
      </c>
      <c r="D148" s="178">
        <v>120</v>
      </c>
      <c r="E148" s="178" t="s">
        <v>708</v>
      </c>
      <c r="F148" s="175" t="s">
        <v>176</v>
      </c>
      <c r="G148" s="175" t="s">
        <v>536</v>
      </c>
      <c r="H148" s="175">
        <v>90</v>
      </c>
      <c r="I148" s="175">
        <v>1</v>
      </c>
      <c r="J148" s="175"/>
      <c r="K148" s="196"/>
      <c r="L148" s="175"/>
      <c r="M148" s="175"/>
      <c r="N148" s="178"/>
      <c r="O148" s="178"/>
      <c r="P148" s="175" t="s">
        <v>964</v>
      </c>
      <c r="Q148" s="187"/>
      <c r="R148" s="187"/>
      <c r="S148" s="175" t="s">
        <v>875</v>
      </c>
      <c r="T148" s="175"/>
      <c r="U148" s="175"/>
      <c r="V148" s="175" t="s">
        <v>875</v>
      </c>
      <c r="W148" s="180"/>
      <c r="X148" s="180" t="s">
        <v>1042</v>
      </c>
      <c r="Y148" s="193" t="s">
        <v>1219</v>
      </c>
      <c r="Z148" s="202" t="s">
        <v>1047</v>
      </c>
      <c r="AA148" s="208" t="s">
        <v>1123</v>
      </c>
      <c r="AB148" s="182" t="s">
        <v>1199</v>
      </c>
    </row>
    <row r="149" spans="1:29" ht="38.25" customHeight="1" x14ac:dyDescent="0.2">
      <c r="A149" s="223" t="s">
        <v>849</v>
      </c>
      <c r="B149" s="178" t="s">
        <v>854</v>
      </c>
      <c r="C149" s="187" t="s">
        <v>850</v>
      </c>
      <c r="D149" s="178">
        <v>155</v>
      </c>
      <c r="E149" s="178" t="s">
        <v>708</v>
      </c>
      <c r="F149" s="191" t="s">
        <v>176</v>
      </c>
      <c r="G149" s="191" t="s">
        <v>536</v>
      </c>
      <c r="H149" s="175">
        <v>76</v>
      </c>
      <c r="I149" s="175">
        <v>1</v>
      </c>
      <c r="J149" s="175">
        <v>48553</v>
      </c>
      <c r="K149" s="195" t="s">
        <v>855</v>
      </c>
      <c r="L149" s="175">
        <v>4</v>
      </c>
      <c r="M149" s="175">
        <v>1</v>
      </c>
      <c r="N149" s="175"/>
      <c r="O149" s="175" t="s">
        <v>1168</v>
      </c>
      <c r="P149" s="175" t="s">
        <v>964</v>
      </c>
      <c r="Q149" s="189" t="s">
        <v>860</v>
      </c>
      <c r="R149" s="187"/>
      <c r="S149" s="175" t="s">
        <v>875</v>
      </c>
      <c r="T149" s="175"/>
      <c r="U149" s="175"/>
      <c r="V149" s="175" t="s">
        <v>875</v>
      </c>
      <c r="W149" s="180"/>
      <c r="X149" s="180" t="s">
        <v>873</v>
      </c>
      <c r="Y149" s="193" t="s">
        <v>1219</v>
      </c>
      <c r="Z149" s="188" t="s">
        <v>1113</v>
      </c>
      <c r="AA149" s="208" t="s">
        <v>1126</v>
      </c>
      <c r="AB149" s="182" t="s">
        <v>1199</v>
      </c>
      <c r="AC149" s="254" t="s">
        <v>1398</v>
      </c>
    </row>
    <row r="150" spans="1:29" s="2" customFormat="1" ht="38.25" customHeight="1" x14ac:dyDescent="0.2">
      <c r="A150" s="242"/>
      <c r="B150" s="183"/>
      <c r="C150" s="167"/>
      <c r="D150" s="166"/>
      <c r="E150" s="166"/>
      <c r="F150" s="177"/>
      <c r="G150" s="177"/>
      <c r="H150" s="168"/>
      <c r="I150" s="168"/>
      <c r="J150" s="175"/>
      <c r="K150" s="195"/>
      <c r="L150" s="168"/>
      <c r="M150" s="168"/>
      <c r="N150" s="168"/>
      <c r="O150" s="183"/>
      <c r="P150" s="177"/>
      <c r="Q150" s="177"/>
      <c r="R150" s="169"/>
      <c r="S150" s="177"/>
      <c r="T150" s="168"/>
      <c r="U150" s="168"/>
      <c r="V150" s="175"/>
      <c r="W150" s="171"/>
      <c r="X150" s="180"/>
      <c r="Y150" s="188"/>
      <c r="Z150" s="243"/>
      <c r="AA150" s="208"/>
      <c r="AB150" s="208"/>
    </row>
    <row r="151" spans="1:29" s="2" customFormat="1" ht="38.25" customHeight="1" x14ac:dyDescent="0.2">
      <c r="A151" s="242"/>
      <c r="B151" s="183"/>
      <c r="C151" s="167"/>
      <c r="D151" s="166"/>
      <c r="E151" s="166"/>
      <c r="F151" s="177"/>
      <c r="G151" s="177"/>
      <c r="H151" s="168"/>
      <c r="I151" s="168"/>
      <c r="J151" s="175"/>
      <c r="K151" s="195"/>
      <c r="L151" s="168"/>
      <c r="M151" s="168"/>
      <c r="N151" s="168"/>
      <c r="O151" s="183"/>
      <c r="P151" s="177"/>
      <c r="Q151" s="177"/>
      <c r="R151" s="169"/>
      <c r="S151" s="177"/>
      <c r="T151" s="168"/>
      <c r="U151" s="168"/>
      <c r="V151" s="175"/>
      <c r="W151" s="171"/>
      <c r="X151" s="180"/>
      <c r="Y151" s="188"/>
      <c r="Z151" s="243"/>
      <c r="AA151" s="208"/>
      <c r="AB151" s="208"/>
    </row>
    <row r="152" spans="1:29" s="2" customFormat="1" ht="38.25" customHeight="1" x14ac:dyDescent="0.2">
      <c r="A152" s="230" t="s">
        <v>451</v>
      </c>
      <c r="B152" s="166" t="s">
        <v>76</v>
      </c>
      <c r="C152" s="234" t="s">
        <v>1239</v>
      </c>
      <c r="D152" s="166"/>
      <c r="E152" s="166"/>
      <c r="F152" s="177"/>
      <c r="G152" s="177"/>
      <c r="H152" s="168"/>
      <c r="I152" s="168"/>
      <c r="J152" s="175">
        <v>29793</v>
      </c>
      <c r="K152" s="195"/>
      <c r="L152" s="168">
        <v>0</v>
      </c>
      <c r="M152" s="168"/>
      <c r="N152" s="168"/>
      <c r="O152" s="166"/>
      <c r="P152" s="168"/>
      <c r="Q152" s="168"/>
      <c r="R152" s="167"/>
      <c r="S152" s="175"/>
      <c r="T152" s="168"/>
      <c r="U152" s="168"/>
      <c r="V152" s="175"/>
      <c r="W152" s="171"/>
      <c r="X152" s="180" t="s">
        <v>1299</v>
      </c>
      <c r="Y152" s="233" t="s">
        <v>799</v>
      </c>
      <c r="Z152" s="257">
        <v>45986</v>
      </c>
      <c r="AA152" s="232" t="s">
        <v>862</v>
      </c>
      <c r="AB152" s="253"/>
      <c r="AC152" s="232"/>
    </row>
    <row r="153" spans="1:29" s="2" customFormat="1" ht="38.25" customHeight="1" x14ac:dyDescent="0.2">
      <c r="A153" s="230" t="s">
        <v>451</v>
      </c>
      <c r="B153" s="166" t="s">
        <v>76</v>
      </c>
      <c r="C153" s="167" t="s">
        <v>316</v>
      </c>
      <c r="D153" s="166" t="s">
        <v>195</v>
      </c>
      <c r="E153" s="166" t="s">
        <v>208</v>
      </c>
      <c r="F153" s="177" t="s">
        <v>3</v>
      </c>
      <c r="G153" s="177" t="s">
        <v>1150</v>
      </c>
      <c r="H153" s="168">
        <v>334</v>
      </c>
      <c r="I153" s="168">
        <v>2</v>
      </c>
      <c r="J153" s="175">
        <v>36139</v>
      </c>
      <c r="K153" s="194" t="s">
        <v>210</v>
      </c>
      <c r="L153" s="168">
        <v>32</v>
      </c>
      <c r="M153" s="168">
        <v>23</v>
      </c>
      <c r="N153" s="168"/>
      <c r="O153" s="166" t="s">
        <v>211</v>
      </c>
      <c r="P153" s="168" t="s">
        <v>224</v>
      </c>
      <c r="Q153" s="170" t="s">
        <v>860</v>
      </c>
      <c r="R153" s="170" t="s">
        <v>767</v>
      </c>
      <c r="S153" s="168" t="s">
        <v>877</v>
      </c>
      <c r="T153" s="168">
        <v>3</v>
      </c>
      <c r="U153" s="168"/>
      <c r="V153" s="175" t="s">
        <v>877</v>
      </c>
      <c r="W153" s="171"/>
      <c r="X153" s="180" t="s">
        <v>1264</v>
      </c>
      <c r="Y153" s="233" t="s">
        <v>799</v>
      </c>
      <c r="Z153" s="257">
        <v>46125</v>
      </c>
      <c r="AA153" s="232" t="s">
        <v>862</v>
      </c>
      <c r="AB153" s="208" t="s">
        <v>926</v>
      </c>
      <c r="AC153" s="250" t="s">
        <v>1392</v>
      </c>
    </row>
    <row r="154" spans="1:29" s="2" customFormat="1" ht="38.25" customHeight="1" x14ac:dyDescent="0.2">
      <c r="A154" s="230" t="s">
        <v>451</v>
      </c>
      <c r="B154" s="173" t="s">
        <v>416</v>
      </c>
      <c r="C154" s="234" t="s">
        <v>1239</v>
      </c>
      <c r="D154" s="166"/>
      <c r="E154" s="166"/>
      <c r="F154" s="177"/>
      <c r="G154" s="177"/>
      <c r="H154" s="168"/>
      <c r="I154" s="168"/>
      <c r="J154" s="175">
        <v>41900</v>
      </c>
      <c r="K154" s="195"/>
      <c r="L154" s="168">
        <v>0</v>
      </c>
      <c r="M154" s="168"/>
      <c r="N154" s="168"/>
      <c r="O154" s="166"/>
      <c r="P154" s="168"/>
      <c r="Q154" s="168"/>
      <c r="R154" s="167"/>
      <c r="S154" s="168"/>
      <c r="T154" s="168"/>
      <c r="U154" s="168"/>
      <c r="V154" s="175"/>
      <c r="W154" s="171"/>
      <c r="X154" s="180" t="s">
        <v>1293</v>
      </c>
      <c r="Y154" s="233" t="s">
        <v>799</v>
      </c>
      <c r="Z154" s="257">
        <v>46126</v>
      </c>
      <c r="AA154" s="232" t="s">
        <v>862</v>
      </c>
      <c r="AB154" s="208"/>
      <c r="AC154" s="246" t="s">
        <v>1378</v>
      </c>
    </row>
    <row r="155" spans="1:29" s="2" customFormat="1" ht="38.25" customHeight="1" x14ac:dyDescent="0.2">
      <c r="A155" s="230" t="s">
        <v>451</v>
      </c>
      <c r="B155" s="183" t="s">
        <v>76</v>
      </c>
      <c r="C155" s="167"/>
      <c r="D155" s="166"/>
      <c r="E155" s="166"/>
      <c r="F155" s="168"/>
      <c r="G155" s="168"/>
      <c r="H155" s="168"/>
      <c r="I155" s="168"/>
      <c r="J155" s="175">
        <v>34776</v>
      </c>
      <c r="K155" s="196" t="s">
        <v>289</v>
      </c>
      <c r="L155" s="168">
        <v>16</v>
      </c>
      <c r="M155" s="168">
        <v>12</v>
      </c>
      <c r="N155" s="168"/>
      <c r="O155" s="166" t="s">
        <v>211</v>
      </c>
      <c r="P155" s="168" t="s">
        <v>224</v>
      </c>
      <c r="Q155" s="170" t="s">
        <v>882</v>
      </c>
      <c r="R155" s="167"/>
      <c r="S155" s="168" t="s">
        <v>877</v>
      </c>
      <c r="T155" s="168"/>
      <c r="U155" s="175"/>
      <c r="V155" s="168" t="s">
        <v>877</v>
      </c>
      <c r="W155" s="171"/>
      <c r="X155" s="180"/>
      <c r="Y155" s="233" t="s">
        <v>799</v>
      </c>
      <c r="Z155" s="257">
        <v>45986</v>
      </c>
      <c r="AA155" s="232" t="s">
        <v>862</v>
      </c>
      <c r="AB155" s="208"/>
    </row>
    <row r="156" spans="1:29" s="2" customFormat="1" ht="38.25" customHeight="1" x14ac:dyDescent="0.2">
      <c r="A156" s="230" t="s">
        <v>451</v>
      </c>
      <c r="B156" s="178" t="s">
        <v>76</v>
      </c>
      <c r="C156" s="187"/>
      <c r="D156" s="178"/>
      <c r="E156" s="178"/>
      <c r="F156" s="175"/>
      <c r="G156" s="175"/>
      <c r="H156" s="175"/>
      <c r="I156" s="175"/>
      <c r="J156" s="218">
        <v>36130</v>
      </c>
      <c r="K156" s="195" t="s">
        <v>210</v>
      </c>
      <c r="L156" s="175">
        <v>16</v>
      </c>
      <c r="M156" s="175">
        <v>0</v>
      </c>
      <c r="N156" s="168" t="s">
        <v>524</v>
      </c>
      <c r="O156" s="178" t="s">
        <v>211</v>
      </c>
      <c r="P156" s="175" t="s">
        <v>224</v>
      </c>
      <c r="Q156" s="189" t="s">
        <v>860</v>
      </c>
      <c r="R156" s="187" t="s">
        <v>465</v>
      </c>
      <c r="S156" s="175" t="s">
        <v>877</v>
      </c>
      <c r="T156" s="175">
        <v>3</v>
      </c>
      <c r="U156" s="175"/>
      <c r="V156" s="175" t="s">
        <v>877</v>
      </c>
      <c r="W156" s="180"/>
      <c r="X156" s="171"/>
      <c r="Y156" s="233" t="s">
        <v>799</v>
      </c>
      <c r="Z156" s="257">
        <v>45986</v>
      </c>
      <c r="AA156" s="232" t="s">
        <v>862</v>
      </c>
      <c r="AB156" s="208"/>
      <c r="AC156" s="250" t="s">
        <v>1392</v>
      </c>
    </row>
    <row r="157" spans="1:29" s="2" customFormat="1" ht="38.25" customHeight="1" x14ac:dyDescent="0.2">
      <c r="A157" s="230" t="s">
        <v>451</v>
      </c>
      <c r="B157" s="178" t="s">
        <v>76</v>
      </c>
      <c r="C157" s="187"/>
      <c r="D157" s="178"/>
      <c r="E157" s="178"/>
      <c r="F157" s="191"/>
      <c r="G157" s="191"/>
      <c r="H157" s="175"/>
      <c r="I157" s="175"/>
      <c r="J157" s="175">
        <v>30111</v>
      </c>
      <c r="K157" s="195"/>
      <c r="L157" s="175">
        <v>16</v>
      </c>
      <c r="M157" s="175"/>
      <c r="N157" s="168" t="s">
        <v>213</v>
      </c>
      <c r="O157" s="178"/>
      <c r="P157" s="175" t="s">
        <v>224</v>
      </c>
      <c r="Q157" s="189" t="s">
        <v>860</v>
      </c>
      <c r="R157" s="187" t="s">
        <v>436</v>
      </c>
      <c r="S157" s="175" t="s">
        <v>877</v>
      </c>
      <c r="T157" s="175"/>
      <c r="U157" s="175"/>
      <c r="V157" s="175" t="s">
        <v>877</v>
      </c>
      <c r="W157" s="180"/>
      <c r="X157" s="180"/>
      <c r="Y157" s="233" t="s">
        <v>799</v>
      </c>
      <c r="Z157" s="257">
        <v>45986</v>
      </c>
      <c r="AA157" s="232" t="s">
        <v>862</v>
      </c>
      <c r="AB157" s="208"/>
    </row>
    <row r="158" spans="1:29" s="26" customFormat="1" ht="37.5" customHeight="1" x14ac:dyDescent="0.2">
      <c r="A158" s="230" t="s">
        <v>451</v>
      </c>
      <c r="B158" s="166" t="s">
        <v>76</v>
      </c>
      <c r="C158" s="167" t="s">
        <v>395</v>
      </c>
      <c r="D158" s="166">
        <v>190</v>
      </c>
      <c r="E158" s="166" t="s">
        <v>208</v>
      </c>
      <c r="F158" s="177" t="s">
        <v>3</v>
      </c>
      <c r="G158" s="177" t="s">
        <v>541</v>
      </c>
      <c r="H158" s="168">
        <v>297</v>
      </c>
      <c r="I158" s="168">
        <v>2</v>
      </c>
      <c r="J158" s="175">
        <v>31655</v>
      </c>
      <c r="K158" s="194" t="s">
        <v>328</v>
      </c>
      <c r="L158" s="168">
        <v>16</v>
      </c>
      <c r="M158" s="168">
        <v>0</v>
      </c>
      <c r="N158" s="166" t="s">
        <v>529</v>
      </c>
      <c r="O158" s="166" t="s">
        <v>212</v>
      </c>
      <c r="P158" s="168" t="s">
        <v>224</v>
      </c>
      <c r="Q158" s="170" t="s">
        <v>860</v>
      </c>
      <c r="R158" s="167" t="s">
        <v>435</v>
      </c>
      <c r="S158" s="168" t="s">
        <v>877</v>
      </c>
      <c r="T158" s="168">
        <v>58</v>
      </c>
      <c r="U158" s="175"/>
      <c r="V158" s="175" t="s">
        <v>877</v>
      </c>
      <c r="W158" s="171"/>
      <c r="X158" s="171" t="s">
        <v>1279</v>
      </c>
      <c r="Y158" s="233" t="s">
        <v>799</v>
      </c>
      <c r="Z158" s="257">
        <v>45986</v>
      </c>
      <c r="AA158" s="232" t="s">
        <v>862</v>
      </c>
      <c r="AB158" s="208"/>
    </row>
    <row r="159" spans="1:29" s="26" customFormat="1" ht="37.5" customHeight="1" x14ac:dyDescent="0.2">
      <c r="A159" s="230" t="s">
        <v>451</v>
      </c>
      <c r="B159" s="166" t="s">
        <v>76</v>
      </c>
      <c r="C159" s="167" t="s">
        <v>395</v>
      </c>
      <c r="D159" s="166">
        <v>190</v>
      </c>
      <c r="E159" s="166" t="s">
        <v>208</v>
      </c>
      <c r="F159" s="177" t="s">
        <v>3</v>
      </c>
      <c r="G159" s="177" t="s">
        <v>541</v>
      </c>
      <c r="H159" s="168">
        <v>297</v>
      </c>
      <c r="I159" s="168">
        <v>2</v>
      </c>
      <c r="J159" s="175">
        <v>31654</v>
      </c>
      <c r="K159" s="194" t="s">
        <v>328</v>
      </c>
      <c r="L159" s="168">
        <v>16</v>
      </c>
      <c r="M159" s="168">
        <v>0</v>
      </c>
      <c r="N159" s="166" t="s">
        <v>529</v>
      </c>
      <c r="O159" s="166" t="s">
        <v>212</v>
      </c>
      <c r="P159" s="168" t="s">
        <v>224</v>
      </c>
      <c r="Q159" s="170" t="s">
        <v>860</v>
      </c>
      <c r="R159" s="167" t="s">
        <v>435</v>
      </c>
      <c r="S159" s="168" t="s">
        <v>877</v>
      </c>
      <c r="T159" s="168">
        <v>58</v>
      </c>
      <c r="U159" s="175"/>
      <c r="V159" s="175" t="s">
        <v>877</v>
      </c>
      <c r="W159" s="171"/>
      <c r="X159" s="171"/>
      <c r="Y159" s="233" t="s">
        <v>799</v>
      </c>
      <c r="Z159" s="257">
        <v>45986</v>
      </c>
      <c r="AA159" s="232" t="s">
        <v>862</v>
      </c>
      <c r="AB159" s="208"/>
    </row>
    <row r="160" spans="1:29" s="2" customFormat="1" ht="38.25" customHeight="1" x14ac:dyDescent="0.2">
      <c r="A160" s="230" t="s">
        <v>451</v>
      </c>
      <c r="B160" s="178" t="s">
        <v>76</v>
      </c>
      <c r="C160" s="187"/>
      <c r="D160" s="178"/>
      <c r="E160" s="178"/>
      <c r="F160" s="191"/>
      <c r="G160" s="191"/>
      <c r="H160" s="175"/>
      <c r="I160" s="175"/>
      <c r="J160" s="175">
        <v>33975</v>
      </c>
      <c r="K160" s="195"/>
      <c r="L160" s="175">
        <v>16</v>
      </c>
      <c r="M160" s="175">
        <v>12</v>
      </c>
      <c r="N160" s="175"/>
      <c r="O160" s="178" t="s">
        <v>211</v>
      </c>
      <c r="P160" s="175" t="s">
        <v>224</v>
      </c>
      <c r="Q160" s="189" t="s">
        <v>860</v>
      </c>
      <c r="R160" s="187"/>
      <c r="S160" s="175" t="s">
        <v>877</v>
      </c>
      <c r="T160" s="175"/>
      <c r="U160" s="175"/>
      <c r="V160" s="175" t="s">
        <v>877</v>
      </c>
      <c r="W160" s="180"/>
      <c r="X160" s="180"/>
      <c r="Y160" s="233" t="s">
        <v>799</v>
      </c>
      <c r="Z160" s="257">
        <v>45986</v>
      </c>
      <c r="AA160" s="232" t="s">
        <v>862</v>
      </c>
      <c r="AB160" s="208"/>
      <c r="AC160" s="250" t="s">
        <v>1392</v>
      </c>
    </row>
    <row r="161" spans="1:29" s="26" customFormat="1" ht="37.5" customHeight="1" x14ac:dyDescent="0.2">
      <c r="A161" s="230" t="s">
        <v>451</v>
      </c>
      <c r="B161" s="166" t="s">
        <v>76</v>
      </c>
      <c r="C161" s="167" t="s">
        <v>395</v>
      </c>
      <c r="D161" s="166">
        <v>190</v>
      </c>
      <c r="E161" s="166" t="s">
        <v>208</v>
      </c>
      <c r="F161" s="177" t="s">
        <v>3</v>
      </c>
      <c r="G161" s="177" t="s">
        <v>541</v>
      </c>
      <c r="H161" s="168">
        <v>297</v>
      </c>
      <c r="I161" s="168">
        <v>2</v>
      </c>
      <c r="J161" s="175">
        <v>28581</v>
      </c>
      <c r="K161" s="194" t="s">
        <v>328</v>
      </c>
      <c r="L161" s="168">
        <v>16</v>
      </c>
      <c r="M161" s="168">
        <v>0</v>
      </c>
      <c r="N161" s="166" t="s">
        <v>213</v>
      </c>
      <c r="O161" s="166" t="s">
        <v>212</v>
      </c>
      <c r="P161" s="168" t="s">
        <v>224</v>
      </c>
      <c r="Q161" s="170" t="s">
        <v>860</v>
      </c>
      <c r="R161" s="167" t="s">
        <v>435</v>
      </c>
      <c r="S161" s="168" t="s">
        <v>877</v>
      </c>
      <c r="T161" s="168">
        <v>58</v>
      </c>
      <c r="U161" s="175"/>
      <c r="V161" s="175" t="s">
        <v>877</v>
      </c>
      <c r="W161" s="171"/>
      <c r="X161" s="180" t="s">
        <v>1379</v>
      </c>
      <c r="Y161" s="233" t="s">
        <v>799</v>
      </c>
      <c r="Z161" s="257">
        <v>45986</v>
      </c>
      <c r="AA161" s="232" t="s">
        <v>862</v>
      </c>
      <c r="AB161" s="208" t="s">
        <v>1385</v>
      </c>
    </row>
    <row r="162" spans="1:29" s="2" customFormat="1" ht="38.25" customHeight="1" x14ac:dyDescent="0.2">
      <c r="A162" s="230" t="s">
        <v>451</v>
      </c>
      <c r="B162" s="166" t="s">
        <v>76</v>
      </c>
      <c r="C162" s="167"/>
      <c r="D162" s="166"/>
      <c r="E162" s="166"/>
      <c r="F162" s="177"/>
      <c r="G162" s="177"/>
      <c r="H162" s="168"/>
      <c r="I162" s="168"/>
      <c r="J162" s="175">
        <v>30317</v>
      </c>
      <c r="K162" s="195"/>
      <c r="L162" s="168">
        <v>16</v>
      </c>
      <c r="M162" s="168"/>
      <c r="N162" s="168" t="s">
        <v>213</v>
      </c>
      <c r="O162" s="166"/>
      <c r="P162" s="168"/>
      <c r="Q162" s="168"/>
      <c r="R162" s="167"/>
      <c r="S162" s="175" t="s">
        <v>877</v>
      </c>
      <c r="T162" s="168"/>
      <c r="U162" s="168"/>
      <c r="V162" s="175" t="s">
        <v>1222</v>
      </c>
      <c r="W162" s="171"/>
      <c r="X162" s="180"/>
      <c r="Y162" s="233" t="s">
        <v>799</v>
      </c>
      <c r="Z162" s="257">
        <v>45986</v>
      </c>
      <c r="AA162" s="232" t="s">
        <v>862</v>
      </c>
      <c r="AB162" s="208" t="s">
        <v>1385</v>
      </c>
    </row>
    <row r="163" spans="1:29" s="2" customFormat="1" ht="38.25" customHeight="1" x14ac:dyDescent="0.2">
      <c r="A163" s="230" t="s">
        <v>451</v>
      </c>
      <c r="B163" s="166" t="s">
        <v>76</v>
      </c>
      <c r="C163" s="167"/>
      <c r="D163" s="166"/>
      <c r="E163" s="166"/>
      <c r="F163" s="175"/>
      <c r="G163" s="177"/>
      <c r="H163" s="168"/>
      <c r="I163" s="168"/>
      <c r="J163" s="175">
        <v>29522</v>
      </c>
      <c r="K163" s="194"/>
      <c r="L163" s="168">
        <v>16</v>
      </c>
      <c r="M163" s="168"/>
      <c r="N163" s="168"/>
      <c r="O163" s="178"/>
      <c r="P163" s="168"/>
      <c r="Q163" s="168"/>
      <c r="R163" s="167"/>
      <c r="S163" s="175" t="s">
        <v>877</v>
      </c>
      <c r="T163" s="168"/>
      <c r="U163" s="168"/>
      <c r="V163" s="175" t="s">
        <v>1222</v>
      </c>
      <c r="W163" s="171"/>
      <c r="X163" s="180"/>
      <c r="Y163" s="233" t="s">
        <v>799</v>
      </c>
      <c r="Z163" s="257">
        <v>45986</v>
      </c>
      <c r="AA163" s="232" t="s">
        <v>862</v>
      </c>
      <c r="AB163" s="208" t="s">
        <v>1384</v>
      </c>
    </row>
    <row r="164" spans="1:29" s="2" customFormat="1" ht="39" customHeight="1" x14ac:dyDescent="0.2">
      <c r="A164" s="230" t="s">
        <v>451</v>
      </c>
      <c r="B164" s="166" t="s">
        <v>76</v>
      </c>
      <c r="C164" s="167"/>
      <c r="D164" s="166"/>
      <c r="E164" s="166"/>
      <c r="F164" s="177"/>
      <c r="G164" s="177"/>
      <c r="H164" s="168"/>
      <c r="I164" s="168"/>
      <c r="J164" s="175">
        <v>35749</v>
      </c>
      <c r="K164" s="195"/>
      <c r="L164" s="168">
        <v>24</v>
      </c>
      <c r="M164" s="168"/>
      <c r="N164" s="168"/>
      <c r="O164" s="166"/>
      <c r="P164" s="168"/>
      <c r="Q164" s="168"/>
      <c r="R164" s="167"/>
      <c r="S164" s="175" t="s">
        <v>877</v>
      </c>
      <c r="T164" s="168"/>
      <c r="U164" s="168"/>
      <c r="V164" s="175" t="s">
        <v>1222</v>
      </c>
      <c r="W164" s="171"/>
      <c r="X164" s="180" t="s">
        <v>1277</v>
      </c>
      <c r="Y164" s="233" t="s">
        <v>799</v>
      </c>
      <c r="Z164" s="257">
        <v>45986</v>
      </c>
      <c r="AA164" s="232" t="s">
        <v>862</v>
      </c>
      <c r="AB164" s="208"/>
    </row>
    <row r="165" spans="1:29" s="2" customFormat="1" ht="36.75" customHeight="1" x14ac:dyDescent="0.2">
      <c r="A165" s="230" t="s">
        <v>451</v>
      </c>
      <c r="B165" s="206">
        <v>2000</v>
      </c>
      <c r="C165" s="167" t="s">
        <v>333</v>
      </c>
      <c r="D165" s="166" t="s">
        <v>334</v>
      </c>
      <c r="E165" s="166" t="s">
        <v>208</v>
      </c>
      <c r="F165" s="177" t="s">
        <v>3</v>
      </c>
      <c r="G165" s="177" t="s">
        <v>252</v>
      </c>
      <c r="H165" s="168">
        <v>266</v>
      </c>
      <c r="I165" s="168">
        <v>1</v>
      </c>
      <c r="J165" s="175">
        <v>26015</v>
      </c>
      <c r="K165" s="194" t="s">
        <v>201</v>
      </c>
      <c r="L165" s="168">
        <v>32</v>
      </c>
      <c r="M165" s="168">
        <v>13</v>
      </c>
      <c r="N165" s="166" t="s">
        <v>526</v>
      </c>
      <c r="O165" s="178" t="s">
        <v>211</v>
      </c>
      <c r="P165" s="168" t="s">
        <v>1041</v>
      </c>
      <c r="Q165" s="170" t="s">
        <v>860</v>
      </c>
      <c r="R165" s="169" t="s">
        <v>465</v>
      </c>
      <c r="S165" s="168"/>
      <c r="T165" s="168">
        <v>4</v>
      </c>
      <c r="U165" s="175"/>
      <c r="V165" s="175"/>
      <c r="W165" s="171"/>
      <c r="X165" s="171"/>
      <c r="Y165" s="233" t="s">
        <v>799</v>
      </c>
      <c r="Z165" s="257">
        <v>45986</v>
      </c>
      <c r="AA165" s="232" t="s">
        <v>862</v>
      </c>
      <c r="AB165" s="208"/>
      <c r="AC165" s="249"/>
    </row>
    <row r="166" spans="1:29" s="2" customFormat="1" ht="38.25" customHeight="1" x14ac:dyDescent="0.2">
      <c r="A166" s="230" t="s">
        <v>451</v>
      </c>
      <c r="B166" s="166" t="s">
        <v>76</v>
      </c>
      <c r="C166" s="167"/>
      <c r="D166" s="166"/>
      <c r="E166" s="166"/>
      <c r="F166" s="175"/>
      <c r="G166" s="177"/>
      <c r="H166" s="168"/>
      <c r="I166" s="168"/>
      <c r="J166" s="175">
        <v>36781</v>
      </c>
      <c r="K166" s="194"/>
      <c r="L166" s="168"/>
      <c r="M166" s="168"/>
      <c r="N166" s="168"/>
      <c r="O166" s="178"/>
      <c r="P166" s="168"/>
      <c r="Q166" s="168"/>
      <c r="R166" s="167"/>
      <c r="S166" s="175" t="s">
        <v>877</v>
      </c>
      <c r="T166" s="168"/>
      <c r="U166" s="168"/>
      <c r="V166" s="175" t="s">
        <v>1222</v>
      </c>
      <c r="W166" s="171"/>
      <c r="X166" s="180"/>
      <c r="Y166" s="233" t="s">
        <v>799</v>
      </c>
      <c r="Z166" s="257">
        <v>45986</v>
      </c>
      <c r="AA166" s="232" t="s">
        <v>862</v>
      </c>
      <c r="AB166" s="208" t="s">
        <v>1423</v>
      </c>
    </row>
    <row r="167" spans="1:29" s="2" customFormat="1" ht="38.25" customHeight="1" x14ac:dyDescent="0.2">
      <c r="A167" s="230" t="s">
        <v>451</v>
      </c>
      <c r="B167" s="166" t="s">
        <v>76</v>
      </c>
      <c r="C167" s="167"/>
      <c r="D167" s="166"/>
      <c r="E167" s="166"/>
      <c r="F167" s="175"/>
      <c r="G167" s="177"/>
      <c r="H167" s="168"/>
      <c r="I167" s="168"/>
      <c r="J167" s="175">
        <v>37341</v>
      </c>
      <c r="K167" s="194"/>
      <c r="L167" s="168"/>
      <c r="M167" s="168"/>
      <c r="N167" s="168"/>
      <c r="O167" s="178"/>
      <c r="P167" s="168"/>
      <c r="Q167" s="168"/>
      <c r="R167" s="167"/>
      <c r="S167" s="175" t="s">
        <v>877</v>
      </c>
      <c r="T167" s="168"/>
      <c r="U167" s="168"/>
      <c r="V167" s="175" t="s">
        <v>1222</v>
      </c>
      <c r="W167" s="171"/>
      <c r="X167" s="180" t="s">
        <v>1227</v>
      </c>
      <c r="Y167" s="233" t="s">
        <v>799</v>
      </c>
      <c r="Z167" s="257">
        <v>45986</v>
      </c>
      <c r="AA167" s="232" t="s">
        <v>862</v>
      </c>
      <c r="AB167" s="208"/>
    </row>
    <row r="168" spans="1:29" s="2" customFormat="1" ht="38.25" customHeight="1" x14ac:dyDescent="0.2">
      <c r="A168" s="230" t="s">
        <v>451</v>
      </c>
      <c r="B168" s="166" t="s">
        <v>76</v>
      </c>
      <c r="C168" s="167"/>
      <c r="D168" s="166"/>
      <c r="E168" s="166"/>
      <c r="F168" s="177"/>
      <c r="G168" s="177"/>
      <c r="H168" s="168"/>
      <c r="I168" s="168"/>
      <c r="J168" s="175">
        <v>27528</v>
      </c>
      <c r="K168" s="195"/>
      <c r="L168" s="168">
        <v>16</v>
      </c>
      <c r="M168" s="168"/>
      <c r="N168" s="168"/>
      <c r="O168" s="166"/>
      <c r="P168" s="168"/>
      <c r="Q168" s="168"/>
      <c r="R168" s="167"/>
      <c r="S168" s="175" t="s">
        <v>877</v>
      </c>
      <c r="T168" s="168"/>
      <c r="U168" s="168"/>
      <c r="V168" s="175" t="s">
        <v>1222</v>
      </c>
      <c r="W168" s="171"/>
      <c r="X168" s="180"/>
      <c r="Y168" s="233" t="s">
        <v>799</v>
      </c>
      <c r="Z168" s="257">
        <v>45986</v>
      </c>
      <c r="AA168" s="232" t="s">
        <v>862</v>
      </c>
      <c r="AB168" s="208"/>
    </row>
    <row r="169" spans="1:29" s="2" customFormat="1" ht="38.25" customHeight="1" x14ac:dyDescent="0.2">
      <c r="A169" s="230" t="s">
        <v>451</v>
      </c>
      <c r="B169" s="173" t="s">
        <v>416</v>
      </c>
      <c r="C169" s="187"/>
      <c r="D169" s="178"/>
      <c r="E169" s="178"/>
      <c r="F169" s="175"/>
      <c r="G169" s="175"/>
      <c r="H169" s="175"/>
      <c r="I169" s="175"/>
      <c r="J169" s="218">
        <v>41897</v>
      </c>
      <c r="K169" s="195" t="s">
        <v>210</v>
      </c>
      <c r="L169" s="175">
        <v>8</v>
      </c>
      <c r="M169" s="175">
        <v>0</v>
      </c>
      <c r="N169" s="168" t="s">
        <v>524</v>
      </c>
      <c r="O169" s="178" t="s">
        <v>211</v>
      </c>
      <c r="P169" s="175" t="s">
        <v>953</v>
      </c>
      <c r="Q169" s="189" t="s">
        <v>860</v>
      </c>
      <c r="R169" s="187" t="s">
        <v>465</v>
      </c>
      <c r="S169" s="175" t="s">
        <v>877</v>
      </c>
      <c r="T169" s="175">
        <v>3</v>
      </c>
      <c r="U169" s="175"/>
      <c r="V169" s="175" t="s">
        <v>877</v>
      </c>
      <c r="W169" s="180"/>
      <c r="X169" s="171" t="s">
        <v>617</v>
      </c>
      <c r="Y169" s="260" t="s">
        <v>799</v>
      </c>
      <c r="Z169" s="276" t="s">
        <v>1430</v>
      </c>
      <c r="AA169" s="232" t="s">
        <v>862</v>
      </c>
      <c r="AB169" s="208"/>
    </row>
    <row r="170" spans="1:29" ht="38.25" customHeight="1" x14ac:dyDescent="0.2">
      <c r="A170" s="229"/>
      <c r="B170" s="166"/>
      <c r="C170" s="167"/>
      <c r="D170" s="166"/>
      <c r="E170" s="166"/>
      <c r="F170" s="177"/>
      <c r="G170" s="177"/>
      <c r="H170" s="168"/>
      <c r="I170" s="168"/>
      <c r="J170" s="175"/>
      <c r="K170" s="195"/>
      <c r="L170" s="168"/>
      <c r="M170" s="168"/>
      <c r="N170" s="168"/>
      <c r="O170" s="166"/>
      <c r="P170" s="168"/>
      <c r="Q170" s="168"/>
      <c r="R170" s="167"/>
      <c r="S170" s="168"/>
      <c r="T170" s="168"/>
      <c r="U170" s="168"/>
      <c r="V170" s="175"/>
      <c r="W170" s="171"/>
      <c r="X170" s="180"/>
      <c r="Y170" s="181"/>
      <c r="Z170" s="210"/>
      <c r="AA170" s="208"/>
      <c r="AB170" s="208"/>
    </row>
    <row r="171" spans="1:29" s="2" customFormat="1" ht="38.25" customHeight="1" x14ac:dyDescent="0.2">
      <c r="A171" s="242"/>
      <c r="B171" s="183"/>
      <c r="C171" s="167"/>
      <c r="D171" s="166"/>
      <c r="E171" s="166"/>
      <c r="F171" s="177"/>
      <c r="G171" s="177"/>
      <c r="H171" s="168"/>
      <c r="I171" s="168"/>
      <c r="J171" s="175"/>
      <c r="K171" s="195"/>
      <c r="L171" s="168"/>
      <c r="M171" s="168"/>
      <c r="N171" s="168"/>
      <c r="O171" s="183"/>
      <c r="P171" s="177"/>
      <c r="Q171" s="177"/>
      <c r="R171" s="169"/>
      <c r="S171" s="177"/>
      <c r="T171" s="168"/>
      <c r="U171" s="168"/>
      <c r="V171" s="175"/>
      <c r="W171" s="171"/>
      <c r="X171" s="180"/>
      <c r="Y171" s="188"/>
      <c r="Z171" s="243"/>
      <c r="AA171" s="208"/>
      <c r="AB171" s="208"/>
    </row>
    <row r="172" spans="1:29" ht="38.25" customHeight="1" x14ac:dyDescent="0.2">
      <c r="A172" s="229"/>
      <c r="B172" s="166"/>
      <c r="C172" s="167"/>
      <c r="D172" s="166"/>
      <c r="E172" s="166"/>
      <c r="F172" s="177"/>
      <c r="G172" s="177"/>
      <c r="H172" s="168"/>
      <c r="I172" s="168"/>
      <c r="J172" s="175"/>
      <c r="K172" s="195"/>
      <c r="L172" s="168"/>
      <c r="M172" s="168"/>
      <c r="N172" s="168"/>
      <c r="O172" s="166"/>
      <c r="P172" s="168"/>
      <c r="Q172" s="168"/>
      <c r="R172" s="167"/>
      <c r="S172" s="168"/>
      <c r="T172" s="168"/>
      <c r="U172" s="168"/>
      <c r="V172" s="175"/>
      <c r="W172" s="171"/>
      <c r="X172" s="180"/>
      <c r="Y172" s="181"/>
      <c r="Z172" s="210"/>
      <c r="AA172" s="208"/>
      <c r="AB172" s="208"/>
    </row>
    <row r="173" spans="1:29" s="2" customFormat="1" ht="38.25" customHeight="1" x14ac:dyDescent="0.2">
      <c r="A173" s="242"/>
      <c r="B173" s="183"/>
      <c r="C173" s="167"/>
      <c r="D173" s="166"/>
      <c r="E173" s="166"/>
      <c r="F173" s="177"/>
      <c r="G173" s="177"/>
      <c r="H173" s="168"/>
      <c r="I173" s="168"/>
      <c r="J173" s="175"/>
      <c r="K173" s="195"/>
      <c r="L173" s="168"/>
      <c r="M173" s="168"/>
      <c r="N173" s="168"/>
      <c r="O173" s="183"/>
      <c r="P173" s="177"/>
      <c r="Q173" s="177"/>
      <c r="R173" s="169"/>
      <c r="S173" s="177"/>
      <c r="T173" s="168"/>
      <c r="U173" s="168"/>
      <c r="V173" s="175"/>
      <c r="W173" s="171"/>
      <c r="X173" s="180"/>
      <c r="Y173" s="188"/>
      <c r="Z173" s="243"/>
      <c r="AA173" s="208"/>
      <c r="AB173" s="208"/>
    </row>
    <row r="174" spans="1:29" ht="38.25" customHeight="1" x14ac:dyDescent="0.2">
      <c r="A174" s="229"/>
      <c r="B174" s="166"/>
      <c r="C174" s="167"/>
      <c r="D174" s="166"/>
      <c r="E174" s="166"/>
      <c r="F174" s="177"/>
      <c r="G174" s="177"/>
      <c r="H174" s="168"/>
      <c r="I174" s="168"/>
      <c r="J174" s="175"/>
      <c r="K174" s="195"/>
      <c r="L174" s="168"/>
      <c r="M174" s="168"/>
      <c r="N174" s="168"/>
      <c r="O174" s="166"/>
      <c r="P174" s="168"/>
      <c r="Q174" s="168"/>
      <c r="R174" s="167"/>
      <c r="S174" s="168"/>
      <c r="T174" s="168"/>
      <c r="U174" s="168"/>
      <c r="V174" s="175"/>
      <c r="W174" s="171"/>
      <c r="X174" s="180"/>
      <c r="Y174" s="181"/>
      <c r="Z174" s="210"/>
      <c r="AA174" s="208"/>
      <c r="AB174" s="208"/>
    </row>
    <row r="175" spans="1:29" s="2" customFormat="1" ht="38.25" customHeight="1" x14ac:dyDescent="0.2">
      <c r="A175" s="242"/>
      <c r="B175" s="183"/>
      <c r="C175" s="167"/>
      <c r="D175" s="166"/>
      <c r="E175" s="166"/>
      <c r="F175" s="177"/>
      <c r="G175" s="177"/>
      <c r="H175" s="168"/>
      <c r="I175" s="168"/>
      <c r="J175" s="175"/>
      <c r="K175" s="195"/>
      <c r="L175" s="168"/>
      <c r="M175" s="168"/>
      <c r="N175" s="168"/>
      <c r="O175" s="183"/>
      <c r="P175" s="177"/>
      <c r="Q175" s="177"/>
      <c r="R175" s="169"/>
      <c r="S175" s="177"/>
      <c r="T175" s="168"/>
      <c r="U175" s="168"/>
      <c r="V175" s="175"/>
      <c r="W175" s="171"/>
      <c r="X175" s="180"/>
      <c r="Y175" s="188"/>
      <c r="Z175" s="243"/>
      <c r="AA175" s="208"/>
      <c r="AB175" s="208"/>
    </row>
  </sheetData>
  <autoFilter ref="A1:AB171" xr:uid="{00000000-0009-0000-0000-000000000000}">
    <filterColumn colId="5" showButton="0"/>
    <filterColumn colId="11" showButton="0"/>
  </autoFilter>
  <dataConsolidate/>
  <mergeCells count="26">
    <mergeCell ref="A1:A2"/>
    <mergeCell ref="B1:B2"/>
    <mergeCell ref="C1:C2"/>
    <mergeCell ref="D1:D2"/>
    <mergeCell ref="E1:E2"/>
    <mergeCell ref="U1:U2"/>
    <mergeCell ref="V1:V2"/>
    <mergeCell ref="Y1:Y2"/>
    <mergeCell ref="F1:G1"/>
    <mergeCell ref="T1:T2"/>
    <mergeCell ref="H1:H2"/>
    <mergeCell ref="I1:I2"/>
    <mergeCell ref="J1:J2"/>
    <mergeCell ref="Q1:Q2"/>
    <mergeCell ref="R1:R2"/>
    <mergeCell ref="S1:S2"/>
    <mergeCell ref="K1:K2"/>
    <mergeCell ref="L1:M1"/>
    <mergeCell ref="N1:N2"/>
    <mergeCell ref="O1:O2"/>
    <mergeCell ref="P1:P2"/>
    <mergeCell ref="X1:X2"/>
    <mergeCell ref="W1:W2"/>
    <mergeCell ref="AA1:AA2"/>
    <mergeCell ref="Z1:Z2"/>
    <mergeCell ref="AB1:AB2"/>
  </mergeCells>
  <pageMargins left="0.25" right="0.25" top="0.75" bottom="0.75" header="0.3" footer="0.3"/>
  <pageSetup paperSize="9" scale="27" fitToHeight="0" orientation="portrait" r:id="rId1"/>
  <headerFooter alignWithMargins="0">
    <oddHeader xml:space="preserve">&amp;C&amp;"Arial,Fett"&amp;16Handmessplätze </oddHeader>
    <oddFooter xml:space="preserve">&amp;L&amp;Z&amp;F&amp;CSeite &amp;P von &amp;N
&amp;R&amp;D
</oddFooter>
  </headerFooter>
  <ignoredErrors>
    <ignoredError sqref="D3 D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9A20-E8DC-4795-9B09-C9F2203AC8FB}">
  <sheetPr codeName="Tabelle4"/>
  <dimension ref="A3:AE28"/>
  <sheetViews>
    <sheetView workbookViewId="0">
      <selection activeCell="S15" sqref="S15"/>
    </sheetView>
  </sheetViews>
  <sheetFormatPr baseColWidth="10" defaultRowHeight="12.75" x14ac:dyDescent="0.2"/>
  <cols>
    <col min="14" max="14" width="16.42578125" style="236" customWidth="1"/>
    <col min="15" max="15" width="11.42578125" style="237"/>
    <col min="16" max="16" width="36" customWidth="1"/>
  </cols>
  <sheetData>
    <row r="3" spans="1:31" ht="30" customHeight="1" x14ac:dyDescent="0.2">
      <c r="A3" s="235" t="s">
        <v>1282</v>
      </c>
      <c r="B3" s="173" t="s">
        <v>416</v>
      </c>
      <c r="C3" s="167" t="s">
        <v>1369</v>
      </c>
      <c r="D3" s="166" t="s">
        <v>1419</v>
      </c>
      <c r="E3" s="166"/>
      <c r="F3" s="191" t="s">
        <v>176</v>
      </c>
      <c r="G3" s="177" t="s">
        <v>463</v>
      </c>
      <c r="H3" s="168"/>
      <c r="I3" s="168"/>
      <c r="J3" s="175">
        <v>50390</v>
      </c>
      <c r="K3" s="195"/>
      <c r="L3" s="180"/>
      <c r="M3" s="181" t="s">
        <v>1283</v>
      </c>
      <c r="N3" s="168" t="s">
        <v>1366</v>
      </c>
      <c r="O3" s="166"/>
      <c r="P3" s="256" t="s">
        <v>1410</v>
      </c>
      <c r="Q3" s="168"/>
      <c r="R3" s="167"/>
      <c r="S3" s="168"/>
      <c r="T3" s="168"/>
      <c r="U3" s="168"/>
      <c r="V3" s="175"/>
      <c r="W3" s="171"/>
      <c r="Z3" s="210"/>
      <c r="AA3" s="208"/>
      <c r="AB3" s="208"/>
      <c r="AC3" s="208"/>
      <c r="AD3" s="208"/>
      <c r="AE3" s="208"/>
    </row>
    <row r="4" spans="1:31" ht="26.25" customHeight="1" x14ac:dyDescent="0.2">
      <c r="A4" s="235" t="s">
        <v>1282</v>
      </c>
      <c r="B4" s="173" t="s">
        <v>416</v>
      </c>
      <c r="C4" s="167" t="s">
        <v>1369</v>
      </c>
      <c r="D4" s="166" t="s">
        <v>1418</v>
      </c>
      <c r="E4" s="166"/>
      <c r="F4" s="191" t="s">
        <v>176</v>
      </c>
      <c r="G4" s="177" t="s">
        <v>463</v>
      </c>
      <c r="H4" s="168"/>
      <c r="I4" s="168"/>
      <c r="J4" s="175">
        <v>47450</v>
      </c>
      <c r="K4" s="195"/>
      <c r="L4" s="180" t="s">
        <v>1284</v>
      </c>
      <c r="M4" s="181" t="s">
        <v>1285</v>
      </c>
      <c r="N4" s="168" t="s">
        <v>1366</v>
      </c>
      <c r="O4" s="166"/>
      <c r="P4" s="255" t="s">
        <v>1405</v>
      </c>
      <c r="Q4" s="168"/>
      <c r="R4" s="167"/>
      <c r="S4" s="168"/>
      <c r="T4" s="168"/>
      <c r="U4" s="168"/>
      <c r="V4" s="175"/>
      <c r="W4" s="171"/>
      <c r="Z4" s="210"/>
      <c r="AA4" s="208"/>
      <c r="AB4" s="208"/>
      <c r="AC4" s="208"/>
      <c r="AD4" s="208"/>
      <c r="AE4" s="208"/>
    </row>
    <row r="5" spans="1:31" ht="25.5" customHeight="1" x14ac:dyDescent="0.2">
      <c r="A5" s="235" t="s">
        <v>1282</v>
      </c>
      <c r="B5" s="173" t="s">
        <v>416</v>
      </c>
      <c r="C5" s="167" t="s">
        <v>1369</v>
      </c>
      <c r="D5" s="166" t="s">
        <v>1370</v>
      </c>
      <c r="E5" s="166"/>
      <c r="F5" s="191" t="s">
        <v>176</v>
      </c>
      <c r="G5" s="177" t="s">
        <v>463</v>
      </c>
      <c r="H5" s="168"/>
      <c r="I5" s="168"/>
      <c r="J5" s="175">
        <v>47447</v>
      </c>
      <c r="K5" s="195"/>
      <c r="L5" s="180" t="s">
        <v>1286</v>
      </c>
      <c r="M5" s="181" t="s">
        <v>1287</v>
      </c>
      <c r="N5" s="168" t="s">
        <v>1366</v>
      </c>
      <c r="O5" s="166"/>
      <c r="P5" s="255" t="s">
        <v>1405</v>
      </c>
      <c r="Q5" s="168"/>
      <c r="R5" s="167"/>
      <c r="S5" s="168"/>
      <c r="T5" s="168"/>
      <c r="U5" s="168"/>
      <c r="V5" s="175"/>
      <c r="W5" s="171"/>
      <c r="Z5" s="210"/>
      <c r="AA5" s="208"/>
      <c r="AB5" s="208"/>
      <c r="AC5" s="208"/>
      <c r="AD5" s="208"/>
      <c r="AE5" s="208"/>
    </row>
    <row r="6" spans="1:31" ht="23.25" customHeight="1" x14ac:dyDescent="0.2">
      <c r="A6" s="235" t="s">
        <v>1282</v>
      </c>
      <c r="B6" s="173" t="s">
        <v>416</v>
      </c>
      <c r="C6" s="167" t="s">
        <v>1369</v>
      </c>
      <c r="D6" s="166" t="s">
        <v>1383</v>
      </c>
      <c r="E6" s="166"/>
      <c r="F6" s="191" t="s">
        <v>176</v>
      </c>
      <c r="G6" s="177" t="s">
        <v>1186</v>
      </c>
      <c r="H6" s="168"/>
      <c r="I6" s="168"/>
      <c r="J6" s="175">
        <v>45832</v>
      </c>
      <c r="K6" s="195"/>
      <c r="L6" s="180"/>
      <c r="M6" s="181" t="s">
        <v>1288</v>
      </c>
      <c r="N6" s="168" t="s">
        <v>1366</v>
      </c>
      <c r="O6" s="166"/>
      <c r="P6" s="256" t="s">
        <v>1410</v>
      </c>
      <c r="Q6" s="168"/>
      <c r="R6" s="167"/>
      <c r="S6" s="168"/>
      <c r="T6" s="168"/>
      <c r="U6" s="168"/>
      <c r="V6" s="175"/>
      <c r="W6" s="171"/>
      <c r="Z6" s="210"/>
      <c r="AA6" s="208"/>
      <c r="AB6" s="208"/>
      <c r="AC6" s="208"/>
      <c r="AD6" s="208"/>
      <c r="AE6" s="208"/>
    </row>
    <row r="7" spans="1:31" ht="24.75" customHeight="1" x14ac:dyDescent="0.2">
      <c r="A7" s="235" t="s">
        <v>1282</v>
      </c>
      <c r="B7" s="173" t="s">
        <v>416</v>
      </c>
      <c r="C7" s="167" t="s">
        <v>1369</v>
      </c>
      <c r="D7" s="166" t="s">
        <v>1420</v>
      </c>
      <c r="E7" s="166"/>
      <c r="F7" s="191" t="s">
        <v>176</v>
      </c>
      <c r="G7" s="177" t="s">
        <v>1186</v>
      </c>
      <c r="H7" s="168"/>
      <c r="I7" s="168"/>
      <c r="J7" s="175">
        <v>46424</v>
      </c>
      <c r="K7" s="195"/>
      <c r="L7" s="180"/>
      <c r="M7" s="181" t="s">
        <v>1289</v>
      </c>
      <c r="N7" s="168" t="s">
        <v>1366</v>
      </c>
      <c r="O7" s="166"/>
      <c r="P7" s="256" t="s">
        <v>1410</v>
      </c>
      <c r="Q7" s="168"/>
      <c r="R7" s="167"/>
      <c r="S7" s="168"/>
      <c r="T7" s="168"/>
      <c r="U7" s="168"/>
      <c r="V7" s="175"/>
      <c r="W7" s="171"/>
      <c r="Z7" s="210"/>
      <c r="AA7" s="208"/>
      <c r="AB7" s="208"/>
      <c r="AC7" s="208"/>
      <c r="AD7" s="208"/>
      <c r="AE7" s="208"/>
    </row>
    <row r="8" spans="1:31" ht="24.75" customHeight="1" x14ac:dyDescent="0.2">
      <c r="A8" s="235" t="s">
        <v>1282</v>
      </c>
      <c r="B8" s="173" t="s">
        <v>416</v>
      </c>
      <c r="C8" s="167" t="s">
        <v>1369</v>
      </c>
      <c r="D8" s="166" t="s">
        <v>1355</v>
      </c>
      <c r="E8" s="166"/>
      <c r="F8" s="191" t="s">
        <v>176</v>
      </c>
      <c r="G8" s="177" t="s">
        <v>1290</v>
      </c>
      <c r="H8" s="168"/>
      <c r="I8" s="168"/>
      <c r="J8" s="175">
        <v>47215</v>
      </c>
      <c r="K8" s="195"/>
      <c r="L8" s="180"/>
      <c r="M8" s="181" t="s">
        <v>1291</v>
      </c>
      <c r="N8" s="168" t="s">
        <v>1366</v>
      </c>
      <c r="O8" s="166"/>
      <c r="P8" s="255" t="s">
        <v>1405</v>
      </c>
      <c r="Q8" s="168"/>
      <c r="R8" s="167"/>
      <c r="S8" s="168"/>
      <c r="T8" s="168"/>
      <c r="U8" s="168"/>
      <c r="V8" s="175"/>
      <c r="W8" s="171"/>
      <c r="Z8" s="210"/>
      <c r="AA8" s="208"/>
      <c r="AB8" s="208"/>
      <c r="AC8" s="208"/>
      <c r="AD8" s="208"/>
      <c r="AE8" s="208"/>
    </row>
    <row r="9" spans="1:31" ht="26.25" customHeight="1" x14ac:dyDescent="0.2">
      <c r="A9" s="235" t="s">
        <v>1282</v>
      </c>
      <c r="B9" s="173" t="s">
        <v>416</v>
      </c>
      <c r="C9" s="167" t="s">
        <v>1369</v>
      </c>
      <c r="D9" s="166" t="s">
        <v>1353</v>
      </c>
      <c r="E9" s="166"/>
      <c r="F9" s="191" t="s">
        <v>176</v>
      </c>
      <c r="G9" s="177" t="s">
        <v>1292</v>
      </c>
      <c r="H9" s="168"/>
      <c r="I9" s="168"/>
      <c r="J9" s="175">
        <v>47459</v>
      </c>
      <c r="K9" s="195"/>
      <c r="L9" s="180" t="s">
        <v>1240</v>
      </c>
      <c r="M9" s="181" t="s">
        <v>1294</v>
      </c>
      <c r="N9" s="168" t="s">
        <v>1366</v>
      </c>
      <c r="O9" s="166"/>
      <c r="P9" s="256" t="s">
        <v>1406</v>
      </c>
      <c r="Q9" s="168"/>
      <c r="R9" s="167"/>
      <c r="S9" s="168"/>
      <c r="T9" s="168"/>
      <c r="U9" s="168"/>
      <c r="V9" s="175"/>
      <c r="W9" s="171"/>
      <c r="Z9" s="210"/>
      <c r="AA9" s="208"/>
      <c r="AB9" s="208"/>
      <c r="AC9" s="208"/>
      <c r="AD9" s="208"/>
      <c r="AE9" s="208"/>
    </row>
    <row r="10" spans="1:31" ht="24" customHeight="1" x14ac:dyDescent="0.2">
      <c r="A10" s="235" t="s">
        <v>1282</v>
      </c>
      <c r="B10" s="173" t="s">
        <v>416</v>
      </c>
      <c r="C10" s="167" t="s">
        <v>1369</v>
      </c>
      <c r="D10" s="166" t="s">
        <v>1417</v>
      </c>
      <c r="E10" s="166"/>
      <c r="F10" s="191" t="s">
        <v>176</v>
      </c>
      <c r="G10" s="177" t="s">
        <v>1292</v>
      </c>
      <c r="H10" s="168"/>
      <c r="I10" s="168"/>
      <c r="J10" s="175">
        <v>47461</v>
      </c>
      <c r="K10" s="195"/>
      <c r="L10" s="180" t="s">
        <v>1295</v>
      </c>
      <c r="M10" s="181" t="s">
        <v>1296</v>
      </c>
      <c r="N10" s="168" t="s">
        <v>1366</v>
      </c>
      <c r="O10" s="166"/>
      <c r="P10" s="256" t="s">
        <v>1407</v>
      </c>
      <c r="Q10" s="168"/>
      <c r="R10" s="167"/>
      <c r="S10" s="168"/>
      <c r="T10" s="168"/>
      <c r="U10" s="168"/>
      <c r="V10" s="175"/>
      <c r="W10" s="171"/>
      <c r="Z10" s="210"/>
      <c r="AA10" s="208"/>
      <c r="AB10" s="208"/>
      <c r="AC10" s="208"/>
      <c r="AD10" s="208"/>
      <c r="AE10" s="208"/>
    </row>
    <row r="11" spans="1:31" ht="25.5" customHeight="1" x14ac:dyDescent="0.2">
      <c r="A11" s="235" t="s">
        <v>1282</v>
      </c>
      <c r="B11" s="173" t="s">
        <v>416</v>
      </c>
      <c r="C11" s="167" t="s">
        <v>1369</v>
      </c>
      <c r="D11" s="166" t="s">
        <v>1352</v>
      </c>
      <c r="E11" s="166"/>
      <c r="F11" s="191" t="s">
        <v>176</v>
      </c>
      <c r="G11" s="177" t="s">
        <v>1290</v>
      </c>
      <c r="H11" s="168"/>
      <c r="I11" s="168"/>
      <c r="J11" s="175">
        <v>52320</v>
      </c>
      <c r="K11" s="195"/>
      <c r="L11" s="180"/>
      <c r="M11" s="181" t="s">
        <v>1297</v>
      </c>
      <c r="N11" s="168" t="s">
        <v>1366</v>
      </c>
      <c r="O11" s="166"/>
      <c r="P11" s="256" t="s">
        <v>1410</v>
      </c>
      <c r="Q11" s="168"/>
      <c r="R11" s="167"/>
      <c r="S11" s="168"/>
      <c r="T11" s="168"/>
      <c r="U11" s="168"/>
      <c r="V11" s="175"/>
      <c r="W11" s="171"/>
      <c r="Z11" s="210"/>
      <c r="AA11" s="208"/>
      <c r="AB11" s="208"/>
      <c r="AC11" s="208"/>
      <c r="AD11" s="208"/>
      <c r="AE11" s="208"/>
    </row>
    <row r="12" spans="1:31" ht="24.75" customHeight="1" x14ac:dyDescent="0.2">
      <c r="A12" s="235" t="s">
        <v>1282</v>
      </c>
      <c r="B12" s="166" t="s">
        <v>76</v>
      </c>
      <c r="C12" s="167" t="s">
        <v>1369</v>
      </c>
      <c r="D12" s="166" t="s">
        <v>1356</v>
      </c>
      <c r="E12" s="166"/>
      <c r="F12" s="191" t="s">
        <v>176</v>
      </c>
      <c r="G12" s="177" t="s">
        <v>1298</v>
      </c>
      <c r="H12" s="168"/>
      <c r="I12" s="168"/>
      <c r="J12" s="175">
        <v>53401</v>
      </c>
      <c r="K12" s="195"/>
      <c r="L12" s="180"/>
      <c r="M12" s="181" t="s">
        <v>1300</v>
      </c>
      <c r="N12" s="168" t="s">
        <v>1366</v>
      </c>
      <c r="O12" s="166"/>
      <c r="P12" s="177"/>
      <c r="Q12" s="168"/>
      <c r="R12" s="167"/>
      <c r="S12" s="168"/>
      <c r="T12" s="168"/>
      <c r="U12" s="168"/>
      <c r="V12" s="175"/>
      <c r="W12" s="171"/>
      <c r="Z12" s="210"/>
      <c r="AA12" s="208"/>
      <c r="AB12" s="208"/>
      <c r="AC12" s="208"/>
      <c r="AD12" s="208"/>
      <c r="AE12" s="208"/>
    </row>
    <row r="13" spans="1:31" ht="24" customHeight="1" x14ac:dyDescent="0.2">
      <c r="A13" s="235" t="s">
        <v>1282</v>
      </c>
      <c r="B13" s="173" t="s">
        <v>416</v>
      </c>
      <c r="C13" s="167" t="s">
        <v>1369</v>
      </c>
      <c r="D13" s="166" t="s">
        <v>1354</v>
      </c>
      <c r="E13" s="166"/>
      <c r="F13" s="191" t="s">
        <v>176</v>
      </c>
      <c r="G13" s="177" t="s">
        <v>1298</v>
      </c>
      <c r="H13" s="168"/>
      <c r="I13" s="168"/>
      <c r="J13" s="175">
        <v>46986</v>
      </c>
      <c r="K13" s="195"/>
      <c r="L13" s="180"/>
      <c r="M13" s="181" t="s">
        <v>1301</v>
      </c>
      <c r="N13" s="168" t="s">
        <v>1366</v>
      </c>
      <c r="O13" s="166"/>
      <c r="P13" s="256" t="s">
        <v>1410</v>
      </c>
      <c r="Q13" s="168"/>
      <c r="R13" s="167"/>
      <c r="S13" s="168"/>
      <c r="T13" s="168"/>
      <c r="U13" s="168"/>
      <c r="V13" s="175"/>
      <c r="W13" s="171"/>
      <c r="Z13" s="210"/>
      <c r="AA13" s="208"/>
      <c r="AB13" s="208"/>
      <c r="AC13" s="208"/>
      <c r="AD13" s="208"/>
      <c r="AE13" s="208"/>
    </row>
    <row r="14" spans="1:31" ht="25.5" customHeight="1" x14ac:dyDescent="0.2">
      <c r="A14" s="235" t="s">
        <v>1282</v>
      </c>
      <c r="B14" s="173" t="s">
        <v>416</v>
      </c>
      <c r="C14" s="167" t="s">
        <v>1367</v>
      </c>
      <c r="D14" s="166" t="s">
        <v>1359</v>
      </c>
      <c r="E14" s="166"/>
      <c r="F14" s="191" t="s">
        <v>176</v>
      </c>
      <c r="G14" s="177" t="s">
        <v>267</v>
      </c>
      <c r="H14" s="168"/>
      <c r="I14" s="168"/>
      <c r="J14" s="175">
        <v>46426</v>
      </c>
      <c r="K14" s="195"/>
      <c r="L14" s="180"/>
      <c r="M14" s="181" t="s">
        <v>1302</v>
      </c>
      <c r="N14" s="168"/>
      <c r="O14" s="166"/>
      <c r="P14" s="256" t="s">
        <v>1410</v>
      </c>
      <c r="Q14" s="168"/>
      <c r="R14" s="167"/>
      <c r="S14" s="168"/>
      <c r="T14" s="168"/>
      <c r="U14" s="168"/>
      <c r="V14" s="175"/>
      <c r="W14" s="171"/>
      <c r="Z14" s="210"/>
      <c r="AA14" s="208"/>
      <c r="AB14" s="208"/>
      <c r="AC14" s="208"/>
      <c r="AD14" s="208"/>
      <c r="AE14" s="208"/>
    </row>
    <row r="15" spans="1:31" ht="26.25" customHeight="1" x14ac:dyDescent="0.2">
      <c r="A15" s="235" t="s">
        <v>1282</v>
      </c>
      <c r="B15" s="173" t="s">
        <v>416</v>
      </c>
      <c r="C15" s="167" t="s">
        <v>1367</v>
      </c>
      <c r="D15" s="166" t="s">
        <v>1361</v>
      </c>
      <c r="E15" s="166"/>
      <c r="F15" s="191" t="s">
        <v>176</v>
      </c>
      <c r="G15" s="177" t="s">
        <v>267</v>
      </c>
      <c r="H15" s="168"/>
      <c r="I15" s="168"/>
      <c r="J15" s="175">
        <v>45536</v>
      </c>
      <c r="K15" s="195"/>
      <c r="L15" s="180"/>
      <c r="M15" s="181" t="s">
        <v>1303</v>
      </c>
      <c r="N15" s="168"/>
      <c r="O15" s="166"/>
      <c r="P15" s="256" t="s">
        <v>1410</v>
      </c>
      <c r="Q15" s="168"/>
      <c r="R15" s="167"/>
      <c r="S15" s="168"/>
      <c r="T15" s="168"/>
      <c r="U15" s="168"/>
      <c r="V15" s="175"/>
      <c r="W15" s="171"/>
      <c r="Z15" s="210"/>
      <c r="AA15" s="208"/>
      <c r="AB15" s="208"/>
      <c r="AC15" s="208"/>
      <c r="AD15" s="208"/>
      <c r="AE15" s="208"/>
    </row>
    <row r="16" spans="1:31" ht="28.5" customHeight="1" x14ac:dyDescent="0.2">
      <c r="A16" s="235" t="s">
        <v>1282</v>
      </c>
      <c r="B16" s="173" t="s">
        <v>416</v>
      </c>
      <c r="C16" s="167" t="s">
        <v>1367</v>
      </c>
      <c r="D16" s="166" t="s">
        <v>1357</v>
      </c>
      <c r="E16" s="166"/>
      <c r="F16" s="191" t="s">
        <v>176</v>
      </c>
      <c r="G16" s="177" t="s">
        <v>267</v>
      </c>
      <c r="H16" s="168"/>
      <c r="I16" s="168"/>
      <c r="J16" s="175">
        <v>47460</v>
      </c>
      <c r="K16" s="195"/>
      <c r="L16" s="180" t="s">
        <v>1304</v>
      </c>
      <c r="M16" s="181" t="s">
        <v>1305</v>
      </c>
      <c r="N16" s="168"/>
      <c r="O16" s="166"/>
      <c r="P16" s="255" t="s">
        <v>1405</v>
      </c>
      <c r="Q16" s="168"/>
      <c r="R16" s="167"/>
      <c r="S16" s="168"/>
      <c r="T16" s="168"/>
      <c r="U16" s="168"/>
      <c r="V16" s="175"/>
      <c r="W16" s="171"/>
      <c r="Z16" s="210"/>
      <c r="AA16" s="208"/>
      <c r="AB16" s="208"/>
      <c r="AC16" s="208"/>
      <c r="AD16" s="208"/>
      <c r="AE16" s="208"/>
    </row>
    <row r="17" spans="1:31" ht="26.25" customHeight="1" x14ac:dyDescent="0.2">
      <c r="A17" s="235" t="s">
        <v>1282</v>
      </c>
      <c r="B17" s="173" t="s">
        <v>416</v>
      </c>
      <c r="C17" s="167" t="s">
        <v>1367</v>
      </c>
      <c r="D17" s="166" t="s">
        <v>1360</v>
      </c>
      <c r="E17" s="166"/>
      <c r="F17" s="191" t="s">
        <v>176</v>
      </c>
      <c r="G17" s="177" t="s">
        <v>267</v>
      </c>
      <c r="H17" s="168"/>
      <c r="I17" s="168"/>
      <c r="J17" s="175">
        <v>47100</v>
      </c>
      <c r="K17" s="195"/>
      <c r="L17" s="180"/>
      <c r="M17" s="181" t="s">
        <v>1306</v>
      </c>
      <c r="N17" s="168"/>
      <c r="O17" s="166"/>
      <c r="P17" s="256" t="s">
        <v>1410</v>
      </c>
      <c r="Q17" s="168"/>
      <c r="R17" s="167"/>
      <c r="S17" s="168"/>
      <c r="T17" s="168"/>
      <c r="U17" s="168"/>
      <c r="V17" s="175"/>
      <c r="W17" s="171"/>
      <c r="Z17" s="210"/>
      <c r="AA17" s="208"/>
      <c r="AB17" s="208"/>
      <c r="AC17" s="208"/>
      <c r="AD17" s="208"/>
      <c r="AE17" s="208"/>
    </row>
    <row r="18" spans="1:31" ht="21.75" customHeight="1" x14ac:dyDescent="0.2">
      <c r="A18" s="235" t="s">
        <v>1282</v>
      </c>
      <c r="B18" s="173" t="s">
        <v>416</v>
      </c>
      <c r="C18" s="167" t="s">
        <v>1367</v>
      </c>
      <c r="D18" s="166" t="s">
        <v>1358</v>
      </c>
      <c r="E18" s="166"/>
      <c r="F18" s="191" t="s">
        <v>176</v>
      </c>
      <c r="G18" s="177" t="s">
        <v>267</v>
      </c>
      <c r="H18" s="168"/>
      <c r="I18" s="168"/>
      <c r="J18" s="175">
        <v>47452</v>
      </c>
      <c r="K18" s="195"/>
      <c r="L18" s="180" t="s">
        <v>1307</v>
      </c>
      <c r="M18" s="181" t="s">
        <v>1308</v>
      </c>
      <c r="N18" s="168"/>
      <c r="O18" s="166"/>
      <c r="P18" s="255" t="s">
        <v>1405</v>
      </c>
      <c r="Q18" s="168"/>
      <c r="R18" s="167"/>
      <c r="S18" s="168"/>
      <c r="T18" s="168"/>
      <c r="U18" s="168"/>
      <c r="V18" s="175"/>
      <c r="W18" s="171"/>
      <c r="Z18" s="210"/>
      <c r="AA18" s="208"/>
      <c r="AB18" s="208"/>
      <c r="AC18" s="208"/>
      <c r="AD18" s="208"/>
      <c r="AE18" s="208"/>
    </row>
    <row r="19" spans="1:31" ht="21.75" customHeight="1" x14ac:dyDescent="0.2">
      <c r="A19" s="235" t="s">
        <v>1282</v>
      </c>
      <c r="B19" s="173" t="s">
        <v>416</v>
      </c>
      <c r="C19" s="167" t="s">
        <v>1367</v>
      </c>
      <c r="D19" s="166" t="s">
        <v>1362</v>
      </c>
      <c r="E19" s="166"/>
      <c r="F19" s="191" t="s">
        <v>176</v>
      </c>
      <c r="G19" s="177" t="s">
        <v>1309</v>
      </c>
      <c r="H19" s="168"/>
      <c r="I19" s="168"/>
      <c r="J19" s="175">
        <v>47456</v>
      </c>
      <c r="K19" s="195"/>
      <c r="L19" s="180" t="s">
        <v>1310</v>
      </c>
      <c r="M19" s="181" t="s">
        <v>1311</v>
      </c>
      <c r="N19" s="168"/>
      <c r="O19" s="166"/>
      <c r="P19" s="255" t="s">
        <v>1405</v>
      </c>
      <c r="Q19" s="168"/>
      <c r="R19" s="167"/>
      <c r="S19" s="168"/>
      <c r="T19" s="168"/>
      <c r="U19" s="168"/>
      <c r="V19" s="175"/>
      <c r="W19" s="171"/>
      <c r="Z19" s="210"/>
      <c r="AA19" s="208"/>
      <c r="AB19" s="208"/>
      <c r="AC19" s="208"/>
      <c r="AD19" s="208"/>
      <c r="AE19" s="208"/>
    </row>
    <row r="20" spans="1:31" ht="25.5" customHeight="1" x14ac:dyDescent="0.2">
      <c r="A20" s="235" t="s">
        <v>1282</v>
      </c>
      <c r="B20" s="173" t="s">
        <v>416</v>
      </c>
      <c r="C20" s="167" t="s">
        <v>1369</v>
      </c>
      <c r="D20" s="166" t="s">
        <v>1422</v>
      </c>
      <c r="E20" s="166"/>
      <c r="F20" s="191" t="s">
        <v>176</v>
      </c>
      <c r="G20" s="177" t="s">
        <v>1312</v>
      </c>
      <c r="H20" s="168"/>
      <c r="I20" s="168"/>
      <c r="J20" s="175">
        <v>46759</v>
      </c>
      <c r="K20" s="195"/>
      <c r="L20" s="180"/>
      <c r="M20" s="181" t="s">
        <v>1313</v>
      </c>
      <c r="N20" s="168" t="s">
        <v>1366</v>
      </c>
      <c r="O20" s="166"/>
      <c r="P20" s="256" t="s">
        <v>1410</v>
      </c>
      <c r="Q20" s="168"/>
      <c r="R20" s="167"/>
      <c r="S20" s="168"/>
      <c r="T20" s="168"/>
      <c r="U20" s="168"/>
      <c r="V20" s="175"/>
      <c r="W20" s="171"/>
      <c r="Z20" s="210"/>
      <c r="AA20" s="208"/>
      <c r="AB20" s="208"/>
      <c r="AC20" s="208"/>
      <c r="AD20" s="208"/>
      <c r="AE20" s="208"/>
    </row>
    <row r="21" spans="1:31" ht="22.5" customHeight="1" x14ac:dyDescent="0.2">
      <c r="A21" s="235" t="s">
        <v>1282</v>
      </c>
      <c r="B21" s="173" t="s">
        <v>416</v>
      </c>
      <c r="C21" s="167" t="s">
        <v>1368</v>
      </c>
      <c r="D21" s="166"/>
      <c r="E21" s="166"/>
      <c r="F21" s="191" t="s">
        <v>176</v>
      </c>
      <c r="G21" s="177" t="s">
        <v>1314</v>
      </c>
      <c r="H21" s="168"/>
      <c r="I21" s="168"/>
      <c r="J21" s="175">
        <v>46819</v>
      </c>
      <c r="K21" s="195"/>
      <c r="L21" s="180" t="s">
        <v>1315</v>
      </c>
      <c r="M21" s="181" t="s">
        <v>1316</v>
      </c>
      <c r="N21" s="168" t="s">
        <v>1366</v>
      </c>
      <c r="O21" s="166"/>
      <c r="P21" s="255" t="s">
        <v>1405</v>
      </c>
      <c r="Q21" s="168"/>
      <c r="R21" s="167"/>
      <c r="S21" s="168"/>
      <c r="T21" s="168"/>
      <c r="U21" s="168"/>
      <c r="V21" s="175"/>
      <c r="W21" s="171"/>
      <c r="Z21" s="210"/>
      <c r="AA21" s="208"/>
      <c r="AB21" s="208"/>
      <c r="AC21" s="208"/>
      <c r="AD21" s="208"/>
      <c r="AE21" s="208"/>
    </row>
    <row r="22" spans="1:31" ht="23.25" customHeight="1" x14ac:dyDescent="0.2">
      <c r="A22" s="235" t="s">
        <v>1282</v>
      </c>
      <c r="B22" s="173" t="s">
        <v>416</v>
      </c>
      <c r="C22" s="167" t="s">
        <v>1368</v>
      </c>
      <c r="D22" s="166"/>
      <c r="E22" s="166"/>
      <c r="F22" s="191" t="s">
        <v>176</v>
      </c>
      <c r="G22" s="177" t="s">
        <v>1314</v>
      </c>
      <c r="H22" s="168"/>
      <c r="I22" s="168"/>
      <c r="J22" s="175">
        <v>46823</v>
      </c>
      <c r="K22" s="195"/>
      <c r="L22" s="180" t="s">
        <v>1317</v>
      </c>
      <c r="M22" s="181" t="s">
        <v>1318</v>
      </c>
      <c r="N22" s="168" t="s">
        <v>1366</v>
      </c>
      <c r="O22" s="166"/>
      <c r="P22" s="255" t="s">
        <v>1405</v>
      </c>
      <c r="Q22" s="168"/>
      <c r="R22" s="167"/>
      <c r="S22" s="168"/>
      <c r="T22" s="168"/>
      <c r="U22" s="168"/>
      <c r="V22" s="175"/>
      <c r="W22" s="171"/>
      <c r="Z22" s="210"/>
      <c r="AA22" s="208"/>
      <c r="AB22" s="208"/>
      <c r="AC22" s="208"/>
      <c r="AD22" s="208"/>
      <c r="AE22" s="208"/>
    </row>
    <row r="23" spans="1:31" ht="21" customHeight="1" x14ac:dyDescent="0.2">
      <c r="A23" s="235" t="s">
        <v>1282</v>
      </c>
      <c r="B23" s="173" t="s">
        <v>416</v>
      </c>
      <c r="C23" s="167" t="s">
        <v>1368</v>
      </c>
      <c r="D23" s="166"/>
      <c r="E23" s="166"/>
      <c r="F23" s="191" t="s">
        <v>176</v>
      </c>
      <c r="G23" s="177" t="s">
        <v>158</v>
      </c>
      <c r="H23" s="168"/>
      <c r="I23" s="168"/>
      <c r="J23" s="175">
        <v>46827</v>
      </c>
      <c r="K23" s="195"/>
      <c r="L23" s="180" t="s">
        <v>1319</v>
      </c>
      <c r="M23" s="181" t="s">
        <v>1320</v>
      </c>
      <c r="N23" s="168" t="s">
        <v>1366</v>
      </c>
      <c r="O23" s="166"/>
      <c r="P23" s="255" t="s">
        <v>1405</v>
      </c>
      <c r="Q23" s="168"/>
      <c r="R23" s="167"/>
      <c r="S23" s="168"/>
      <c r="T23" s="168"/>
      <c r="U23" s="168"/>
      <c r="V23" s="175"/>
      <c r="W23" s="171"/>
      <c r="Z23" s="210"/>
      <c r="AA23" s="208"/>
      <c r="AB23" s="208"/>
      <c r="AC23" s="208"/>
      <c r="AD23" s="208"/>
      <c r="AE23" s="208"/>
    </row>
    <row r="24" spans="1:31" ht="19.5" customHeight="1" x14ac:dyDescent="0.2">
      <c r="A24" s="235" t="s">
        <v>1282</v>
      </c>
      <c r="B24" s="173" t="s">
        <v>416</v>
      </c>
      <c r="C24" s="167" t="s">
        <v>1367</v>
      </c>
      <c r="D24" s="166" t="s">
        <v>1421</v>
      </c>
      <c r="E24" s="166"/>
      <c r="F24" s="191" t="s">
        <v>176</v>
      </c>
      <c r="G24" s="177" t="s">
        <v>1309</v>
      </c>
      <c r="H24" s="168"/>
      <c r="I24" s="168"/>
      <c r="J24" s="175">
        <v>47458</v>
      </c>
      <c r="K24" s="195"/>
      <c r="L24" s="180" t="s">
        <v>1363</v>
      </c>
      <c r="M24" s="181" t="s">
        <v>1364</v>
      </c>
      <c r="N24" s="175"/>
      <c r="O24" s="166"/>
      <c r="P24" s="255" t="s">
        <v>1405</v>
      </c>
      <c r="Q24" s="168"/>
      <c r="R24" s="167"/>
      <c r="S24" s="168"/>
      <c r="T24" s="168"/>
      <c r="U24" s="168"/>
      <c r="V24" s="175"/>
      <c r="W24" s="171"/>
      <c r="Z24" s="210"/>
      <c r="AA24" s="208"/>
      <c r="AB24" s="208"/>
      <c r="AC24" s="208"/>
      <c r="AD24" s="208"/>
      <c r="AE24" s="208"/>
    </row>
    <row r="25" spans="1:31" ht="21.75" customHeight="1" x14ac:dyDescent="0.2">
      <c r="A25" s="235" t="s">
        <v>1282</v>
      </c>
      <c r="B25" s="173" t="s">
        <v>416</v>
      </c>
      <c r="C25" s="167" t="s">
        <v>1368</v>
      </c>
      <c r="D25" s="166"/>
      <c r="E25" s="166"/>
      <c r="F25" s="191" t="s">
        <v>176</v>
      </c>
      <c r="G25" s="177" t="s">
        <v>158</v>
      </c>
      <c r="H25" s="168"/>
      <c r="I25" s="168"/>
      <c r="J25" s="175">
        <v>46829</v>
      </c>
      <c r="K25" s="195"/>
      <c r="L25" s="180" t="s">
        <v>1409</v>
      </c>
      <c r="M25" s="181"/>
      <c r="N25" s="168"/>
      <c r="O25" s="166"/>
      <c r="P25" s="168"/>
      <c r="Q25" s="168"/>
      <c r="R25" s="167"/>
      <c r="S25" s="168"/>
      <c r="T25" s="168"/>
      <c r="U25" s="168"/>
      <c r="V25" s="175"/>
      <c r="W25" s="171"/>
      <c r="Z25" s="210"/>
      <c r="AA25" s="208"/>
      <c r="AB25" s="208"/>
      <c r="AC25" s="208"/>
      <c r="AD25" s="208"/>
      <c r="AE25" s="208"/>
    </row>
    <row r="26" spans="1:31" ht="24.75" customHeight="1" x14ac:dyDescent="0.2">
      <c r="A26" s="235" t="s">
        <v>1282</v>
      </c>
      <c r="B26" s="173" t="s">
        <v>416</v>
      </c>
      <c r="C26" s="167"/>
      <c r="D26" s="166"/>
      <c r="E26" s="166"/>
      <c r="F26" s="191" t="s">
        <v>176</v>
      </c>
      <c r="G26" s="177"/>
      <c r="H26" s="168"/>
      <c r="I26" s="168"/>
      <c r="J26" s="175"/>
      <c r="K26" s="195"/>
      <c r="L26" s="180"/>
      <c r="M26" s="181"/>
      <c r="N26" s="168"/>
      <c r="O26" s="166"/>
      <c r="P26" s="168"/>
      <c r="Q26" s="168"/>
      <c r="R26" s="167"/>
      <c r="S26" s="168"/>
      <c r="T26" s="168"/>
      <c r="U26" s="168"/>
      <c r="V26" s="175"/>
      <c r="W26" s="171"/>
      <c r="Z26" s="210"/>
      <c r="AA26" s="208"/>
      <c r="AB26" s="208"/>
      <c r="AC26" s="208"/>
      <c r="AD26" s="208"/>
      <c r="AE26" s="208"/>
    </row>
    <row r="27" spans="1:31" ht="27.75" customHeight="1" x14ac:dyDescent="0.2">
      <c r="A27" s="235" t="s">
        <v>1282</v>
      </c>
      <c r="B27" s="173" t="s">
        <v>416</v>
      </c>
      <c r="C27" s="167"/>
      <c r="D27" s="166"/>
      <c r="E27" s="166"/>
      <c r="F27" s="191" t="s">
        <v>176</v>
      </c>
      <c r="G27" s="177"/>
      <c r="H27" s="168"/>
      <c r="I27" s="168"/>
      <c r="J27" s="175"/>
      <c r="K27" s="195"/>
      <c r="L27" s="180"/>
      <c r="M27" s="181"/>
      <c r="N27" s="168"/>
      <c r="O27" s="166"/>
      <c r="P27" s="168"/>
      <c r="Q27" s="168"/>
      <c r="R27" s="167"/>
      <c r="S27" s="168"/>
      <c r="T27" s="168"/>
      <c r="U27" s="168"/>
      <c r="V27" s="175"/>
      <c r="W27" s="171"/>
      <c r="Z27" s="210"/>
      <c r="AA27" s="208"/>
      <c r="AB27" s="208"/>
      <c r="AC27" s="208"/>
      <c r="AD27" s="208"/>
      <c r="AE27" s="208"/>
    </row>
    <row r="28" spans="1:31" ht="28.5" customHeight="1" x14ac:dyDescent="0.2">
      <c r="A28" s="235" t="s">
        <v>1282</v>
      </c>
      <c r="B28" s="173" t="s">
        <v>416</v>
      </c>
      <c r="C28" s="167"/>
      <c r="D28" s="166"/>
      <c r="E28" s="166"/>
      <c r="F28" s="191" t="s">
        <v>176</v>
      </c>
      <c r="G28" s="177"/>
      <c r="H28" s="168"/>
      <c r="I28" s="168"/>
      <c r="J28" s="175"/>
      <c r="K28" s="195"/>
      <c r="L28" s="180"/>
      <c r="M28" s="181"/>
      <c r="N28" s="168"/>
      <c r="O28" s="166"/>
      <c r="P28" s="168"/>
      <c r="Q28" s="168"/>
      <c r="R28" s="167"/>
      <c r="S28" s="168"/>
      <c r="T28" s="168"/>
      <c r="U28" s="168"/>
      <c r="V28" s="175"/>
      <c r="W28" s="171"/>
      <c r="Z28" s="210"/>
      <c r="AA28" s="208"/>
      <c r="AB28" s="208"/>
      <c r="AC28" s="208"/>
      <c r="AD28" s="208"/>
      <c r="AE28" s="208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AA267"/>
  <sheetViews>
    <sheetView zoomScaleNormal="100" workbookViewId="0">
      <pane ySplit="2" topLeftCell="A248" activePane="bottomLeft" state="frozen"/>
      <selection pane="bottomLeft" activeCell="I189" sqref="I189"/>
    </sheetView>
  </sheetViews>
  <sheetFormatPr baseColWidth="10" defaultRowHeight="12.75" x14ac:dyDescent="0.2"/>
  <cols>
    <col min="1" max="1" width="9.7109375" style="41" customWidth="1"/>
    <col min="2" max="2" width="6.7109375" style="3" customWidth="1"/>
    <col min="3" max="3" width="25.7109375" style="4" customWidth="1"/>
    <col min="4" max="4" width="5.7109375" style="1" customWidth="1"/>
    <col min="5" max="5" width="6.7109375" style="1" customWidth="1"/>
    <col min="6" max="6" width="4.7109375" style="1" customWidth="1"/>
    <col min="7" max="8" width="6.7109375" style="1" customWidth="1"/>
    <col min="9" max="9" width="5.7109375" style="1" customWidth="1"/>
    <col min="10" max="10" width="8.7109375" style="1" customWidth="1"/>
    <col min="11" max="11" width="9.28515625" style="1" customWidth="1"/>
    <col min="12" max="13" width="5.7109375" style="1" customWidth="1"/>
    <col min="14" max="14" width="6.7109375" style="1" customWidth="1"/>
    <col min="15" max="15" width="9.7109375" style="1" customWidth="1"/>
    <col min="16" max="16" width="8.7109375" style="1" customWidth="1"/>
    <col min="17" max="18" width="5.7109375" style="1" customWidth="1"/>
    <col min="19" max="19" width="8" style="1" customWidth="1"/>
    <col min="20" max="20" width="9" style="1" customWidth="1"/>
    <col min="21" max="24" width="6.7109375" style="1" customWidth="1"/>
    <col min="25" max="25" width="8.42578125" style="1" bestFit="1" customWidth="1"/>
    <col min="26" max="26" width="10.42578125" style="1" bestFit="1" customWidth="1"/>
    <col min="27" max="27" width="30.7109375" style="5" customWidth="1"/>
  </cols>
  <sheetData>
    <row r="1" spans="1:27" s="40" customFormat="1" ht="34.5" customHeight="1" x14ac:dyDescent="0.2">
      <c r="A1" s="297" t="s">
        <v>225</v>
      </c>
      <c r="B1" s="279" t="s">
        <v>0</v>
      </c>
      <c r="C1" s="299" t="s">
        <v>226</v>
      </c>
      <c r="D1" s="296" t="s">
        <v>139</v>
      </c>
      <c r="E1" s="279" t="s">
        <v>193</v>
      </c>
      <c r="F1" s="289" t="s">
        <v>1</v>
      </c>
      <c r="G1" s="290"/>
      <c r="H1" s="279" t="s">
        <v>227</v>
      </c>
      <c r="I1" s="279" t="s">
        <v>190</v>
      </c>
      <c r="J1" s="279" t="s">
        <v>228</v>
      </c>
      <c r="K1" s="279" t="s">
        <v>192</v>
      </c>
      <c r="L1" s="294" t="s">
        <v>205</v>
      </c>
      <c r="M1" s="295"/>
      <c r="N1" s="279" t="s">
        <v>229</v>
      </c>
      <c r="O1" s="296" t="s">
        <v>189</v>
      </c>
      <c r="P1" s="279" t="s">
        <v>191</v>
      </c>
      <c r="Q1" s="279" t="s">
        <v>433</v>
      </c>
      <c r="R1" s="279" t="s">
        <v>357</v>
      </c>
      <c r="S1" s="279" t="s">
        <v>230</v>
      </c>
      <c r="T1" s="279" t="s">
        <v>409</v>
      </c>
      <c r="U1" s="307" t="s">
        <v>410</v>
      </c>
      <c r="V1" s="305" t="s">
        <v>411</v>
      </c>
      <c r="W1" s="279" t="s">
        <v>393</v>
      </c>
      <c r="X1" s="279" t="s">
        <v>394</v>
      </c>
      <c r="Y1" s="89" t="s">
        <v>675</v>
      </c>
      <c r="Z1" s="89" t="s">
        <v>583</v>
      </c>
      <c r="AA1" s="303" t="s">
        <v>142</v>
      </c>
    </row>
    <row r="2" spans="1:27" s="40" customFormat="1" ht="19.5" customHeight="1" x14ac:dyDescent="0.2">
      <c r="A2" s="298"/>
      <c r="B2" s="291"/>
      <c r="C2" s="300"/>
      <c r="D2" s="286"/>
      <c r="E2" s="286"/>
      <c r="F2" s="35" t="s">
        <v>140</v>
      </c>
      <c r="G2" s="36" t="s">
        <v>141</v>
      </c>
      <c r="H2" s="291"/>
      <c r="I2" s="291"/>
      <c r="J2" s="286"/>
      <c r="K2" s="286"/>
      <c r="L2" s="37" t="s">
        <v>207</v>
      </c>
      <c r="M2" s="37" t="s">
        <v>206</v>
      </c>
      <c r="N2" s="286"/>
      <c r="O2" s="286"/>
      <c r="P2" s="286"/>
      <c r="Q2" s="286"/>
      <c r="R2" s="286"/>
      <c r="S2" s="286"/>
      <c r="T2" s="291"/>
      <c r="U2" s="308"/>
      <c r="V2" s="306"/>
      <c r="W2" s="286"/>
      <c r="X2" s="286"/>
      <c r="Y2" s="90"/>
      <c r="Z2" s="90"/>
      <c r="AA2" s="304"/>
    </row>
    <row r="3" spans="1:27" s="2" customFormat="1" ht="38.25" customHeight="1" x14ac:dyDescent="0.2">
      <c r="A3" s="109" t="s">
        <v>103</v>
      </c>
      <c r="B3" s="110" t="s">
        <v>76</v>
      </c>
      <c r="C3" s="111" t="s">
        <v>364</v>
      </c>
      <c r="D3" s="110" t="s">
        <v>221</v>
      </c>
      <c r="E3" s="110" t="s">
        <v>222</v>
      </c>
      <c r="F3" s="112" t="s">
        <v>53</v>
      </c>
      <c r="G3" s="112" t="s">
        <v>242</v>
      </c>
      <c r="H3" s="112">
        <v>213</v>
      </c>
      <c r="I3" s="112">
        <v>5</v>
      </c>
      <c r="J3" s="123">
        <v>30979</v>
      </c>
      <c r="K3" s="111" t="s">
        <v>210</v>
      </c>
      <c r="L3" s="112">
        <v>16</v>
      </c>
      <c r="M3" s="112">
        <v>12</v>
      </c>
      <c r="N3" s="112" t="s">
        <v>58</v>
      </c>
      <c r="O3" s="110" t="s">
        <v>223</v>
      </c>
      <c r="P3" s="112" t="s">
        <v>224</v>
      </c>
      <c r="Q3" s="111" t="s">
        <v>649</v>
      </c>
      <c r="R3" s="111" t="s">
        <v>470</v>
      </c>
      <c r="S3" s="112"/>
      <c r="T3" s="112">
        <v>1</v>
      </c>
      <c r="U3" s="112">
        <f>[1]Tabelle1!$L$3</f>
        <v>6</v>
      </c>
      <c r="V3" s="112">
        <f>[1]Tabelle1!$L$4</f>
        <v>22</v>
      </c>
      <c r="W3" s="112"/>
      <c r="X3" s="112"/>
      <c r="Y3" s="114"/>
      <c r="Z3" s="114" t="s">
        <v>586</v>
      </c>
      <c r="AA3" s="161"/>
    </row>
    <row r="4" spans="1:27" s="128" customFormat="1" ht="38.25" customHeight="1" x14ac:dyDescent="0.2">
      <c r="A4" s="109" t="s">
        <v>104</v>
      </c>
      <c r="B4" s="110" t="s">
        <v>76</v>
      </c>
      <c r="C4" s="111" t="s">
        <v>363</v>
      </c>
      <c r="D4" s="110">
        <v>90</v>
      </c>
      <c r="E4" s="110" t="s">
        <v>222</v>
      </c>
      <c r="F4" s="112" t="s">
        <v>3</v>
      </c>
      <c r="G4" s="112" t="s">
        <v>260</v>
      </c>
      <c r="H4" s="112">
        <v>198</v>
      </c>
      <c r="I4" s="112">
        <v>5</v>
      </c>
      <c r="J4" s="113">
        <v>28575</v>
      </c>
      <c r="K4" s="111" t="s">
        <v>201</v>
      </c>
      <c r="L4" s="112">
        <v>16</v>
      </c>
      <c r="M4" s="112">
        <v>15</v>
      </c>
      <c r="N4" s="112" t="s">
        <v>58</v>
      </c>
      <c r="O4" s="110" t="s">
        <v>211</v>
      </c>
      <c r="P4" s="112">
        <v>2000</v>
      </c>
      <c r="Q4" s="111" t="s">
        <v>649</v>
      </c>
      <c r="R4" s="111" t="s">
        <v>435</v>
      </c>
      <c r="S4" s="112"/>
      <c r="T4" s="112">
        <v>1</v>
      </c>
      <c r="U4" s="112">
        <f>[2]Tabelle1!$L$3</f>
        <v>6</v>
      </c>
      <c r="V4" s="112">
        <f>[2]Tabelle1!$L$4</f>
        <v>74</v>
      </c>
      <c r="W4" s="112"/>
      <c r="X4" s="112"/>
      <c r="Y4" s="114"/>
      <c r="Z4" s="115" t="s">
        <v>644</v>
      </c>
      <c r="AA4" s="116" t="s">
        <v>780</v>
      </c>
    </row>
    <row r="5" spans="1:27" s="2" customFormat="1" ht="38.25" customHeight="1" x14ac:dyDescent="0.2">
      <c r="A5" s="109" t="s">
        <v>105</v>
      </c>
      <c r="B5" s="110">
        <v>2000</v>
      </c>
      <c r="C5" s="111" t="s">
        <v>294</v>
      </c>
      <c r="D5" s="110">
        <v>80</v>
      </c>
      <c r="E5" s="110" t="s">
        <v>222</v>
      </c>
      <c r="F5" s="112" t="s">
        <v>3</v>
      </c>
      <c r="G5" s="112" t="s">
        <v>267</v>
      </c>
      <c r="H5" s="112">
        <v>153</v>
      </c>
      <c r="I5" s="112">
        <v>1</v>
      </c>
      <c r="J5" s="123">
        <v>26042</v>
      </c>
      <c r="K5" s="111" t="s">
        <v>201</v>
      </c>
      <c r="L5" s="112">
        <v>16</v>
      </c>
      <c r="M5" s="112">
        <v>5</v>
      </c>
      <c r="N5" s="112" t="s">
        <v>58</v>
      </c>
      <c r="O5" s="112" t="s">
        <v>291</v>
      </c>
      <c r="P5" s="112">
        <v>2000</v>
      </c>
      <c r="Q5" s="111" t="s">
        <v>649</v>
      </c>
      <c r="R5" s="111" t="s">
        <v>465</v>
      </c>
      <c r="S5" s="112"/>
      <c r="T5" s="112">
        <v>2</v>
      </c>
      <c r="U5" s="112">
        <f>[3]Tabelle1!$L$3</f>
        <v>25</v>
      </c>
      <c r="V5" s="112">
        <f>[3]Tabelle1!$L$4</f>
        <v>5</v>
      </c>
      <c r="W5" s="112"/>
      <c r="X5" s="112"/>
      <c r="Y5" s="114"/>
      <c r="Z5" s="114"/>
      <c r="AA5" s="116"/>
    </row>
    <row r="6" spans="1:27" s="2" customFormat="1" ht="38.25" customHeight="1" x14ac:dyDescent="0.2">
      <c r="A6" s="109" t="s">
        <v>106</v>
      </c>
      <c r="B6" s="110">
        <v>2000</v>
      </c>
      <c r="C6" s="111" t="s">
        <v>364</v>
      </c>
      <c r="D6" s="110">
        <v>60</v>
      </c>
      <c r="E6" s="110" t="s">
        <v>222</v>
      </c>
      <c r="F6" s="112" t="s">
        <v>53</v>
      </c>
      <c r="G6" s="112" t="s">
        <v>245</v>
      </c>
      <c r="H6" s="112">
        <v>208</v>
      </c>
      <c r="I6" s="112">
        <v>5</v>
      </c>
      <c r="J6" s="123">
        <v>26033</v>
      </c>
      <c r="K6" s="111" t="s">
        <v>209</v>
      </c>
      <c r="L6" s="112">
        <v>16</v>
      </c>
      <c r="M6" s="112">
        <v>4</v>
      </c>
      <c r="N6" s="110"/>
      <c r="O6" s="110" t="s">
        <v>211</v>
      </c>
      <c r="P6" s="112">
        <v>2000</v>
      </c>
      <c r="Q6" s="111" t="s">
        <v>649</v>
      </c>
      <c r="R6" s="111" t="s">
        <v>435</v>
      </c>
      <c r="S6" s="112"/>
      <c r="T6" s="112">
        <v>1</v>
      </c>
      <c r="U6" s="112">
        <f>[4]Tabelle1!$L$3</f>
        <v>36</v>
      </c>
      <c r="V6" s="112">
        <f>[4]Tabelle1!$L$3</f>
        <v>36</v>
      </c>
      <c r="W6" s="112"/>
      <c r="X6" s="112"/>
      <c r="Y6" s="114"/>
      <c r="Z6" s="114"/>
      <c r="AA6" s="120" t="s">
        <v>661</v>
      </c>
    </row>
    <row r="7" spans="1:27" s="2" customFormat="1" ht="38.25" customHeight="1" x14ac:dyDescent="0.2">
      <c r="A7" s="109" t="s">
        <v>107</v>
      </c>
      <c r="B7" s="110">
        <v>2000</v>
      </c>
      <c r="C7" s="111" t="s">
        <v>363</v>
      </c>
      <c r="D7" s="110">
        <v>60</v>
      </c>
      <c r="E7" s="110" t="s">
        <v>222</v>
      </c>
      <c r="F7" s="112" t="s">
        <v>53</v>
      </c>
      <c r="G7" s="112" t="s">
        <v>246</v>
      </c>
      <c r="H7" s="112">
        <v>207</v>
      </c>
      <c r="I7" s="112">
        <v>5</v>
      </c>
      <c r="J7" s="113">
        <v>26017</v>
      </c>
      <c r="K7" s="111" t="s">
        <v>209</v>
      </c>
      <c r="L7" s="112">
        <v>16</v>
      </c>
      <c r="M7" s="112">
        <v>4</v>
      </c>
      <c r="N7" s="112"/>
      <c r="O7" s="112" t="s">
        <v>291</v>
      </c>
      <c r="P7" s="112">
        <v>2000</v>
      </c>
      <c r="Q7" s="111" t="s">
        <v>649</v>
      </c>
      <c r="R7" s="111" t="s">
        <v>471</v>
      </c>
      <c r="S7" s="112"/>
      <c r="T7" s="112">
        <v>1</v>
      </c>
      <c r="U7" s="112">
        <f>[5]Tabelle1!$L$3</f>
        <v>36</v>
      </c>
      <c r="V7" s="112">
        <f>[5]Tabelle1!$L$4</f>
        <v>6</v>
      </c>
      <c r="W7" s="112"/>
      <c r="X7" s="112"/>
      <c r="Y7" s="114"/>
      <c r="Z7" s="114"/>
      <c r="AA7" s="116"/>
    </row>
    <row r="8" spans="1:27" s="2" customFormat="1" ht="38.25" customHeight="1" x14ac:dyDescent="0.2">
      <c r="A8" s="38" t="s">
        <v>108</v>
      </c>
      <c r="B8" s="8" t="s">
        <v>76</v>
      </c>
      <c r="C8" s="9" t="s">
        <v>363</v>
      </c>
      <c r="D8" s="6">
        <v>50</v>
      </c>
      <c r="E8" s="8" t="s">
        <v>208</v>
      </c>
      <c r="F8" s="6" t="s">
        <v>53</v>
      </c>
      <c r="G8" s="6" t="s">
        <v>152</v>
      </c>
      <c r="H8" s="6">
        <v>216</v>
      </c>
      <c r="I8" s="6">
        <v>5</v>
      </c>
      <c r="J8" s="7">
        <v>31526</v>
      </c>
      <c r="K8" s="16" t="s">
        <v>328</v>
      </c>
      <c r="L8" s="6">
        <v>16</v>
      </c>
      <c r="M8" s="6">
        <v>0</v>
      </c>
      <c r="N8" s="6" t="s">
        <v>213</v>
      </c>
      <c r="O8" s="8" t="s">
        <v>211</v>
      </c>
      <c r="P8" s="6" t="s">
        <v>224</v>
      </c>
      <c r="Q8" s="31" t="s">
        <v>860</v>
      </c>
      <c r="R8" s="9" t="s">
        <v>470</v>
      </c>
      <c r="S8" s="6"/>
      <c r="T8" s="6">
        <v>1</v>
      </c>
      <c r="U8" s="43">
        <f>[6]Tabelle1!$L$3</f>
        <v>34</v>
      </c>
      <c r="V8" s="46">
        <f>[6]Tabelle1!$L$4</f>
        <v>34</v>
      </c>
      <c r="W8" s="6"/>
      <c r="X8" s="6"/>
      <c r="Y8" s="91"/>
      <c r="Z8" s="91"/>
      <c r="AA8" s="25"/>
    </row>
    <row r="9" spans="1:27" s="2" customFormat="1" ht="38.25" customHeight="1" x14ac:dyDescent="0.2">
      <c r="A9" s="38" t="s">
        <v>110</v>
      </c>
      <c r="B9" s="8" t="s">
        <v>76</v>
      </c>
      <c r="C9" s="9" t="s">
        <v>364</v>
      </c>
      <c r="D9" s="8">
        <v>90</v>
      </c>
      <c r="E9" s="8" t="s">
        <v>874</v>
      </c>
      <c r="F9" s="6" t="s">
        <v>3</v>
      </c>
      <c r="G9" s="6" t="s">
        <v>260</v>
      </c>
      <c r="H9" s="6">
        <v>199</v>
      </c>
      <c r="I9" s="6">
        <v>5</v>
      </c>
      <c r="J9" s="12">
        <v>29789</v>
      </c>
      <c r="K9" s="9" t="s">
        <v>210</v>
      </c>
      <c r="L9" s="6">
        <v>32</v>
      </c>
      <c r="M9" s="6">
        <v>15</v>
      </c>
      <c r="N9" s="6"/>
      <c r="O9" s="8" t="s">
        <v>211</v>
      </c>
      <c r="P9" s="6" t="s">
        <v>224</v>
      </c>
      <c r="Q9" s="9" t="s">
        <v>860</v>
      </c>
      <c r="R9" s="9" t="s">
        <v>435</v>
      </c>
      <c r="S9" s="6"/>
      <c r="T9" s="6">
        <v>1</v>
      </c>
      <c r="U9" s="6">
        <f>[7]Tabelle1!$L$3</f>
        <v>6</v>
      </c>
      <c r="V9" s="6">
        <f>[7]Tabelle1!$L$4</f>
        <v>74</v>
      </c>
      <c r="W9" s="6"/>
      <c r="X9" s="6"/>
      <c r="Y9" s="91"/>
      <c r="Z9" s="91" t="s">
        <v>645</v>
      </c>
      <c r="AA9" s="25"/>
    </row>
    <row r="10" spans="1:27" s="2" customFormat="1" ht="38.25" customHeight="1" x14ac:dyDescent="0.2">
      <c r="A10" s="109" t="s">
        <v>111</v>
      </c>
      <c r="B10" s="110" t="s">
        <v>76</v>
      </c>
      <c r="C10" s="111" t="s">
        <v>296</v>
      </c>
      <c r="D10" s="110">
        <v>20</v>
      </c>
      <c r="E10" s="110" t="s">
        <v>222</v>
      </c>
      <c r="F10" s="112" t="s">
        <v>53</v>
      </c>
      <c r="G10" s="119" t="s">
        <v>232</v>
      </c>
      <c r="H10" s="112">
        <v>79</v>
      </c>
      <c r="I10" s="112">
        <v>5</v>
      </c>
      <c r="J10" s="162">
        <v>29795</v>
      </c>
      <c r="K10" s="111" t="s">
        <v>209</v>
      </c>
      <c r="L10" s="112">
        <v>16</v>
      </c>
      <c r="M10" s="121">
        <v>1</v>
      </c>
      <c r="N10" s="163"/>
      <c r="O10" s="110" t="s">
        <v>211</v>
      </c>
      <c r="P10" s="112" t="s">
        <v>224</v>
      </c>
      <c r="Q10" s="111" t="s">
        <v>649</v>
      </c>
      <c r="R10" s="111" t="s">
        <v>470</v>
      </c>
      <c r="S10" s="112"/>
      <c r="T10" s="112">
        <v>1</v>
      </c>
      <c r="U10" s="112">
        <v>3</v>
      </c>
      <c r="V10" s="112">
        <f>[8]Tabelle1!$L$4</f>
        <v>0</v>
      </c>
      <c r="W10" s="112"/>
      <c r="X10" s="112"/>
      <c r="Y10" s="114"/>
      <c r="Z10" s="114"/>
      <c r="AA10" s="116" t="s">
        <v>792</v>
      </c>
    </row>
    <row r="11" spans="1:27" s="2" customFormat="1" ht="38.25" customHeight="1" x14ac:dyDescent="0.2">
      <c r="A11" s="109" t="s">
        <v>112</v>
      </c>
      <c r="B11" s="110">
        <v>2000</v>
      </c>
      <c r="C11" s="111" t="s">
        <v>315</v>
      </c>
      <c r="D11" s="110" t="s">
        <v>195</v>
      </c>
      <c r="E11" s="110" t="s">
        <v>222</v>
      </c>
      <c r="F11" s="112" t="s">
        <v>57</v>
      </c>
      <c r="G11" s="112" t="s">
        <v>271</v>
      </c>
      <c r="H11" s="112">
        <v>234</v>
      </c>
      <c r="I11" s="112">
        <v>1</v>
      </c>
      <c r="J11" s="113">
        <v>26022</v>
      </c>
      <c r="K11" s="111" t="s">
        <v>209</v>
      </c>
      <c r="L11" s="112">
        <v>16</v>
      </c>
      <c r="M11" s="112">
        <v>7</v>
      </c>
      <c r="N11" s="112"/>
      <c r="O11" s="112" t="s">
        <v>291</v>
      </c>
      <c r="P11" s="112">
        <v>2000</v>
      </c>
      <c r="Q11" s="111" t="s">
        <v>649</v>
      </c>
      <c r="R11" s="111" t="s">
        <v>465</v>
      </c>
      <c r="S11" s="112"/>
      <c r="T11" s="112">
        <v>1</v>
      </c>
      <c r="U11" s="112">
        <f>[9]Tabelle1!$L$3</f>
        <v>4</v>
      </c>
      <c r="V11" s="112">
        <f>[9]Tabelle1!$L$4</f>
        <v>1</v>
      </c>
      <c r="W11" s="112"/>
      <c r="X11" s="112"/>
      <c r="Y11" s="114"/>
      <c r="Z11" s="114"/>
      <c r="AA11" s="116"/>
    </row>
    <row r="12" spans="1:27" s="2" customFormat="1" ht="38.25" customHeight="1" x14ac:dyDescent="0.2">
      <c r="A12" s="109" t="s">
        <v>114</v>
      </c>
      <c r="B12" s="110">
        <v>2000</v>
      </c>
      <c r="C12" s="111" t="s">
        <v>365</v>
      </c>
      <c r="D12" s="110">
        <v>20</v>
      </c>
      <c r="E12" s="110" t="s">
        <v>222</v>
      </c>
      <c r="F12" s="112" t="s">
        <v>53</v>
      </c>
      <c r="G12" s="112" t="s">
        <v>113</v>
      </c>
      <c r="H12" s="112">
        <v>211</v>
      </c>
      <c r="I12" s="112">
        <v>5</v>
      </c>
      <c r="J12" s="113">
        <v>26021</v>
      </c>
      <c r="K12" s="111" t="s">
        <v>209</v>
      </c>
      <c r="L12" s="112">
        <v>16</v>
      </c>
      <c r="M12" s="112">
        <v>4</v>
      </c>
      <c r="N12" s="112"/>
      <c r="O12" s="110" t="s">
        <v>211</v>
      </c>
      <c r="P12" s="112">
        <v>2000</v>
      </c>
      <c r="Q12" s="111" t="s">
        <v>649</v>
      </c>
      <c r="R12" s="111" t="s">
        <v>471</v>
      </c>
      <c r="S12" s="112"/>
      <c r="T12" s="112">
        <v>2</v>
      </c>
      <c r="U12" s="112">
        <f>[10]Tabelle1!$L$3</f>
        <v>0</v>
      </c>
      <c r="V12" s="112">
        <f>[10]Tabelle1!$L$4</f>
        <v>5</v>
      </c>
      <c r="W12" s="112"/>
      <c r="X12" s="112"/>
      <c r="Y12" s="114"/>
      <c r="Z12" s="114"/>
      <c r="AA12" s="116"/>
    </row>
    <row r="13" spans="1:27" s="2" customFormat="1" ht="38.25" customHeight="1" x14ac:dyDescent="0.2">
      <c r="A13" s="109" t="s">
        <v>115</v>
      </c>
      <c r="B13" s="110">
        <v>2000</v>
      </c>
      <c r="C13" s="111" t="s">
        <v>297</v>
      </c>
      <c r="D13" s="110">
        <v>30</v>
      </c>
      <c r="E13" s="110" t="s">
        <v>222</v>
      </c>
      <c r="F13" s="112" t="s">
        <v>57</v>
      </c>
      <c r="G13" s="112" t="s">
        <v>274</v>
      </c>
      <c r="H13" s="112">
        <v>226</v>
      </c>
      <c r="I13" s="112">
        <v>1</v>
      </c>
      <c r="J13" s="117" t="s">
        <v>293</v>
      </c>
      <c r="K13" s="111" t="s">
        <v>201</v>
      </c>
      <c r="L13" s="112">
        <v>16</v>
      </c>
      <c r="M13" s="112">
        <v>3</v>
      </c>
      <c r="N13" s="112"/>
      <c r="O13" s="110" t="s">
        <v>291</v>
      </c>
      <c r="P13" s="112">
        <v>2000</v>
      </c>
      <c r="Q13" s="111" t="s">
        <v>649</v>
      </c>
      <c r="R13" s="111" t="s">
        <v>465</v>
      </c>
      <c r="S13" s="112"/>
      <c r="T13" s="112">
        <v>2</v>
      </c>
      <c r="U13" s="112">
        <f>[11]Tabelle1!$L$3</f>
        <v>6</v>
      </c>
      <c r="V13" s="112">
        <f>[11]Tabelle1!$L$4</f>
        <v>0</v>
      </c>
      <c r="W13" s="112"/>
      <c r="X13" s="112"/>
      <c r="Y13" s="114"/>
      <c r="Z13" s="114"/>
      <c r="AA13" s="116"/>
    </row>
    <row r="14" spans="1:27" s="2" customFormat="1" ht="38.25" customHeight="1" x14ac:dyDescent="0.2">
      <c r="A14" s="109" t="s">
        <v>116</v>
      </c>
      <c r="B14" s="110">
        <v>2000</v>
      </c>
      <c r="C14" s="111" t="s">
        <v>298</v>
      </c>
      <c r="D14" s="110">
        <v>20</v>
      </c>
      <c r="E14" s="110" t="s">
        <v>222</v>
      </c>
      <c r="F14" s="112" t="s">
        <v>57</v>
      </c>
      <c r="G14" s="112" t="s">
        <v>275</v>
      </c>
      <c r="H14" s="112">
        <v>220</v>
      </c>
      <c r="I14" s="112">
        <v>1</v>
      </c>
      <c r="J14" s="113">
        <v>26035</v>
      </c>
      <c r="K14" s="111" t="s">
        <v>201</v>
      </c>
      <c r="L14" s="112">
        <v>16</v>
      </c>
      <c r="M14" s="112">
        <v>3</v>
      </c>
      <c r="N14" s="112"/>
      <c r="O14" s="110" t="s">
        <v>480</v>
      </c>
      <c r="P14" s="112">
        <v>2000</v>
      </c>
      <c r="Q14" s="111" t="s">
        <v>649</v>
      </c>
      <c r="R14" s="111" t="s">
        <v>483</v>
      </c>
      <c r="S14" s="112"/>
      <c r="T14" s="112">
        <v>1</v>
      </c>
      <c r="U14" s="112">
        <f>[12]Tabelle1!$L$3</f>
        <v>1</v>
      </c>
      <c r="V14" s="112">
        <f>[12]Tabelle1!$L$4</f>
        <v>2</v>
      </c>
      <c r="W14" s="112"/>
      <c r="X14" s="112"/>
      <c r="Y14" s="114"/>
      <c r="Z14" s="114"/>
      <c r="AA14" s="116"/>
    </row>
    <row r="15" spans="1:27" s="2" customFormat="1" ht="38.25" customHeight="1" x14ac:dyDescent="0.2">
      <c r="A15" s="109" t="s">
        <v>117</v>
      </c>
      <c r="B15" s="110">
        <v>2000</v>
      </c>
      <c r="C15" s="111" t="s">
        <v>299</v>
      </c>
      <c r="D15" s="110">
        <v>70</v>
      </c>
      <c r="E15" s="110" t="s">
        <v>222</v>
      </c>
      <c r="F15" s="112" t="s">
        <v>3</v>
      </c>
      <c r="G15" s="112" t="s">
        <v>269</v>
      </c>
      <c r="H15" s="112">
        <v>169</v>
      </c>
      <c r="I15" s="112">
        <v>1</v>
      </c>
      <c r="J15" s="164">
        <v>26040</v>
      </c>
      <c r="K15" s="118" t="s">
        <v>201</v>
      </c>
      <c r="L15" s="112">
        <v>16</v>
      </c>
      <c r="M15" s="112">
        <v>3</v>
      </c>
      <c r="N15" s="110"/>
      <c r="O15" s="110" t="s">
        <v>480</v>
      </c>
      <c r="P15" s="112">
        <v>2000</v>
      </c>
      <c r="Q15" s="111" t="s">
        <v>649</v>
      </c>
      <c r="R15" s="111" t="s">
        <v>465</v>
      </c>
      <c r="S15" s="112"/>
      <c r="T15" s="112">
        <v>2</v>
      </c>
      <c r="U15" s="112">
        <f>[13]Tabelle1!$L$3</f>
        <v>12</v>
      </c>
      <c r="V15" s="112">
        <f>[13]Tabelle1!$L$4</f>
        <v>0</v>
      </c>
      <c r="W15" s="112"/>
      <c r="X15" s="112"/>
      <c r="Y15" s="114"/>
      <c r="Z15" s="126"/>
      <c r="AA15" s="116"/>
    </row>
    <row r="16" spans="1:27" s="2" customFormat="1" ht="38.25" customHeight="1" x14ac:dyDescent="0.2">
      <c r="A16" s="109" t="s">
        <v>118</v>
      </c>
      <c r="B16" s="110">
        <v>2000</v>
      </c>
      <c r="C16" s="111" t="s">
        <v>300</v>
      </c>
      <c r="D16" s="110">
        <v>30</v>
      </c>
      <c r="E16" s="110" t="s">
        <v>222</v>
      </c>
      <c r="F16" s="112" t="s">
        <v>57</v>
      </c>
      <c r="G16" s="112" t="s">
        <v>274</v>
      </c>
      <c r="H16" s="112">
        <v>223</v>
      </c>
      <c r="I16" s="112">
        <v>1</v>
      </c>
      <c r="J16" s="113">
        <v>25905</v>
      </c>
      <c r="K16" s="111" t="s">
        <v>201</v>
      </c>
      <c r="L16" s="112">
        <v>16</v>
      </c>
      <c r="M16" s="112">
        <v>2</v>
      </c>
      <c r="N16" s="112"/>
      <c r="O16" s="110" t="s">
        <v>291</v>
      </c>
      <c r="P16" s="112">
        <v>2000</v>
      </c>
      <c r="Q16" s="111" t="s">
        <v>649</v>
      </c>
      <c r="R16" s="111" t="s">
        <v>465</v>
      </c>
      <c r="S16" s="112"/>
      <c r="T16" s="112">
        <v>1</v>
      </c>
      <c r="U16" s="112">
        <f>[14]Tabelle1!$L$3</f>
        <v>2</v>
      </c>
      <c r="V16" s="112">
        <f>[14]Tabelle1!$L$4</f>
        <v>0</v>
      </c>
      <c r="W16" s="112"/>
      <c r="X16" s="112"/>
      <c r="Y16" s="114"/>
      <c r="Z16" s="114"/>
      <c r="AA16" s="116"/>
    </row>
    <row r="17" spans="1:27" s="2" customFormat="1" ht="38.25" customHeight="1" x14ac:dyDescent="0.2">
      <c r="A17" s="109" t="s">
        <v>119</v>
      </c>
      <c r="B17" s="110">
        <v>2000</v>
      </c>
      <c r="C17" s="111" t="s">
        <v>301</v>
      </c>
      <c r="D17" s="110">
        <v>40</v>
      </c>
      <c r="E17" s="110" t="s">
        <v>222</v>
      </c>
      <c r="F17" s="112" t="s">
        <v>57</v>
      </c>
      <c r="G17" s="112" t="s">
        <v>274</v>
      </c>
      <c r="H17" s="112">
        <v>224</v>
      </c>
      <c r="I17" s="112">
        <v>1</v>
      </c>
      <c r="J17" s="117" t="s">
        <v>438</v>
      </c>
      <c r="K17" s="111" t="s">
        <v>201</v>
      </c>
      <c r="L17" s="112">
        <v>16</v>
      </c>
      <c r="M17" s="112">
        <v>2</v>
      </c>
      <c r="N17" s="112"/>
      <c r="O17" s="110" t="s">
        <v>211</v>
      </c>
      <c r="P17" s="112">
        <v>2000</v>
      </c>
      <c r="Q17" s="111" t="s">
        <v>649</v>
      </c>
      <c r="R17" s="111" t="s">
        <v>465</v>
      </c>
      <c r="S17" s="112"/>
      <c r="T17" s="112">
        <v>3</v>
      </c>
      <c r="U17" s="112">
        <f>[15]Tabelle1!$L$3</f>
        <v>2</v>
      </c>
      <c r="V17" s="112">
        <f>[15]Tabelle1!$L$4</f>
        <v>4</v>
      </c>
      <c r="W17" s="112"/>
      <c r="X17" s="112"/>
      <c r="Y17" s="114"/>
      <c r="Z17" s="114"/>
      <c r="AA17" s="116"/>
    </row>
    <row r="18" spans="1:27" s="2" customFormat="1" ht="38.25" customHeight="1" x14ac:dyDescent="0.2">
      <c r="A18" s="109" t="s">
        <v>120</v>
      </c>
      <c r="B18" s="110" t="s">
        <v>76</v>
      </c>
      <c r="C18" s="111" t="s">
        <v>302</v>
      </c>
      <c r="D18" s="110" t="s">
        <v>221</v>
      </c>
      <c r="E18" s="110" t="s">
        <v>222</v>
      </c>
      <c r="F18" s="112" t="s">
        <v>53</v>
      </c>
      <c r="G18" s="112" t="s">
        <v>237</v>
      </c>
      <c r="H18" s="112">
        <v>315</v>
      </c>
      <c r="I18" s="112">
        <v>5</v>
      </c>
      <c r="J18" s="117">
        <v>31527</v>
      </c>
      <c r="K18" s="111" t="s">
        <v>289</v>
      </c>
      <c r="L18" s="112">
        <v>16</v>
      </c>
      <c r="M18" s="112">
        <v>5</v>
      </c>
      <c r="N18" s="112"/>
      <c r="O18" s="110" t="s">
        <v>211</v>
      </c>
      <c r="P18" s="112" t="s">
        <v>224</v>
      </c>
      <c r="Q18" s="111" t="s">
        <v>649</v>
      </c>
      <c r="R18" s="111" t="s">
        <v>470</v>
      </c>
      <c r="S18" s="112"/>
      <c r="T18" s="112">
        <v>1</v>
      </c>
      <c r="U18" s="112">
        <f>[16]Tabelle1!$L$3</f>
        <v>14</v>
      </c>
      <c r="V18" s="112">
        <f>[16]Tabelle1!$L$4</f>
        <v>2</v>
      </c>
      <c r="W18" s="112"/>
      <c r="X18" s="112"/>
      <c r="Y18" s="114"/>
      <c r="Z18" s="114" t="s">
        <v>624</v>
      </c>
      <c r="AA18" s="116"/>
    </row>
    <row r="19" spans="1:27" s="2" customFormat="1" ht="38.25" customHeight="1" x14ac:dyDescent="0.2">
      <c r="A19" s="109" t="s">
        <v>121</v>
      </c>
      <c r="B19" s="110">
        <v>2000</v>
      </c>
      <c r="C19" s="111" t="s">
        <v>313</v>
      </c>
      <c r="D19" s="110" t="s">
        <v>195</v>
      </c>
      <c r="E19" s="110" t="s">
        <v>222</v>
      </c>
      <c r="F19" s="112" t="s">
        <v>57</v>
      </c>
      <c r="G19" s="112" t="s">
        <v>113</v>
      </c>
      <c r="H19" s="112">
        <v>80</v>
      </c>
      <c r="I19" s="112">
        <v>1</v>
      </c>
      <c r="J19" s="117" t="s">
        <v>293</v>
      </c>
      <c r="K19" s="111" t="s">
        <v>287</v>
      </c>
      <c r="L19" s="112">
        <v>16</v>
      </c>
      <c r="M19" s="112">
        <v>4</v>
      </c>
      <c r="N19" s="112"/>
      <c r="O19" s="110" t="s">
        <v>291</v>
      </c>
      <c r="P19" s="112">
        <v>2000</v>
      </c>
      <c r="Q19" s="111" t="s">
        <v>649</v>
      </c>
      <c r="R19" s="111" t="s">
        <v>465</v>
      </c>
      <c r="S19" s="112"/>
      <c r="T19" s="112">
        <v>1</v>
      </c>
      <c r="U19" s="112">
        <f>[17]Tabelle1!$L$3</f>
        <v>4</v>
      </c>
      <c r="V19" s="112">
        <f>[17]Tabelle1!$L$4</f>
        <v>1</v>
      </c>
      <c r="W19" s="112"/>
      <c r="X19" s="112"/>
      <c r="Y19" s="114"/>
      <c r="Z19" s="114"/>
      <c r="AA19" s="116" t="s">
        <v>776</v>
      </c>
    </row>
    <row r="20" spans="1:27" s="2" customFormat="1" ht="38.25" customHeight="1" x14ac:dyDescent="0.2">
      <c r="A20" s="109" t="s">
        <v>122</v>
      </c>
      <c r="B20" s="110" t="s">
        <v>416</v>
      </c>
      <c r="C20" s="111" t="s">
        <v>304</v>
      </c>
      <c r="D20" s="110" t="s">
        <v>305</v>
      </c>
      <c r="E20" s="110" t="s">
        <v>222</v>
      </c>
      <c r="F20" s="112" t="s">
        <v>3</v>
      </c>
      <c r="G20" s="112" t="s">
        <v>262</v>
      </c>
      <c r="H20" s="112">
        <v>104</v>
      </c>
      <c r="I20" s="112">
        <v>2</v>
      </c>
      <c r="J20" s="110">
        <v>41900</v>
      </c>
      <c r="K20" s="118" t="s">
        <v>515</v>
      </c>
      <c r="L20" s="112">
        <v>16</v>
      </c>
      <c r="M20" s="112">
        <v>11</v>
      </c>
      <c r="N20" s="112"/>
      <c r="O20" s="110"/>
      <c r="P20" s="112" t="s">
        <v>417</v>
      </c>
      <c r="Q20" s="111" t="s">
        <v>649</v>
      </c>
      <c r="R20" s="111" t="s">
        <v>465</v>
      </c>
      <c r="S20" s="112"/>
      <c r="T20" s="112">
        <v>1</v>
      </c>
      <c r="U20" s="112">
        <f>[18]Tabelle1!$L$3</f>
        <v>20</v>
      </c>
      <c r="V20" s="112">
        <f>[18]Tabelle1!$L$4</f>
        <v>2</v>
      </c>
      <c r="W20" s="112"/>
      <c r="X20" s="112"/>
      <c r="Y20" s="114"/>
      <c r="Z20" s="114" t="s">
        <v>625</v>
      </c>
      <c r="AA20" s="116" t="s">
        <v>775</v>
      </c>
    </row>
    <row r="21" spans="1:27" s="2" customFormat="1" ht="38.25" customHeight="1" x14ac:dyDescent="0.2">
      <c r="A21" s="109" t="s">
        <v>123</v>
      </c>
      <c r="B21" s="110">
        <v>2000</v>
      </c>
      <c r="C21" s="111" t="s">
        <v>311</v>
      </c>
      <c r="D21" s="110" t="s">
        <v>195</v>
      </c>
      <c r="E21" s="110" t="s">
        <v>222</v>
      </c>
      <c r="F21" s="112" t="s">
        <v>57</v>
      </c>
      <c r="G21" s="112" t="s">
        <v>161</v>
      </c>
      <c r="H21" s="112">
        <v>248</v>
      </c>
      <c r="I21" s="112">
        <v>1</v>
      </c>
      <c r="J21" s="123">
        <v>25896</v>
      </c>
      <c r="K21" s="111" t="s">
        <v>290</v>
      </c>
      <c r="L21" s="112">
        <v>16</v>
      </c>
      <c r="M21" s="112">
        <v>4</v>
      </c>
      <c r="N21" s="112"/>
      <c r="O21" s="110" t="s">
        <v>211</v>
      </c>
      <c r="P21" s="112">
        <v>2000</v>
      </c>
      <c r="Q21" s="111" t="s">
        <v>649</v>
      </c>
      <c r="R21" s="111" t="s">
        <v>465</v>
      </c>
      <c r="S21" s="112"/>
      <c r="T21" s="112">
        <v>1</v>
      </c>
      <c r="U21" s="112">
        <f>[19]Tabelle1!$L$3</f>
        <v>10</v>
      </c>
      <c r="V21" s="112">
        <f>[19]Tabelle1!$L$4</f>
        <v>4</v>
      </c>
      <c r="W21" s="112"/>
      <c r="X21" s="112"/>
      <c r="Y21" s="114"/>
      <c r="Z21" s="114"/>
      <c r="AA21" s="116"/>
    </row>
    <row r="22" spans="1:27" s="2" customFormat="1" ht="38.25" customHeight="1" x14ac:dyDescent="0.2">
      <c r="A22" s="109" t="s">
        <v>124</v>
      </c>
      <c r="B22" s="110" t="s">
        <v>76</v>
      </c>
      <c r="C22" s="111" t="s">
        <v>307</v>
      </c>
      <c r="D22" s="110">
        <v>10</v>
      </c>
      <c r="E22" s="110" t="s">
        <v>222</v>
      </c>
      <c r="F22" s="112" t="s">
        <v>53</v>
      </c>
      <c r="G22" s="119" t="s">
        <v>62</v>
      </c>
      <c r="H22" s="112">
        <v>77</v>
      </c>
      <c r="I22" s="112">
        <v>5</v>
      </c>
      <c r="J22" s="113">
        <v>30547</v>
      </c>
      <c r="K22" s="111" t="s">
        <v>210</v>
      </c>
      <c r="L22" s="112">
        <v>16</v>
      </c>
      <c r="M22" s="112">
        <v>4</v>
      </c>
      <c r="N22" s="112"/>
      <c r="O22" s="110" t="s">
        <v>211</v>
      </c>
      <c r="P22" s="112" t="s">
        <v>224</v>
      </c>
      <c r="Q22" s="111" t="s">
        <v>649</v>
      </c>
      <c r="R22" s="111" t="s">
        <v>470</v>
      </c>
      <c r="S22" s="112"/>
      <c r="T22" s="112">
        <v>1</v>
      </c>
      <c r="U22" s="112">
        <f>[20]Tabelle1!$L$3</f>
        <v>20</v>
      </c>
      <c r="V22" s="112">
        <f>[20]Tabelle1!$L$4</f>
        <v>0</v>
      </c>
      <c r="W22" s="112"/>
      <c r="X22" s="112"/>
      <c r="Y22" s="114"/>
      <c r="Z22" s="114" t="s">
        <v>585</v>
      </c>
      <c r="AA22" s="116" t="s">
        <v>786</v>
      </c>
    </row>
    <row r="23" spans="1:27" s="2" customFormat="1" ht="38.25" customHeight="1" x14ac:dyDescent="0.2">
      <c r="A23" s="109" t="s">
        <v>125</v>
      </c>
      <c r="B23" s="53" t="s">
        <v>539</v>
      </c>
      <c r="C23" s="111" t="s">
        <v>308</v>
      </c>
      <c r="D23" s="110">
        <v>10</v>
      </c>
      <c r="E23" s="110" t="s">
        <v>222</v>
      </c>
      <c r="F23" s="112" t="s">
        <v>53</v>
      </c>
      <c r="G23" s="119" t="s">
        <v>233</v>
      </c>
      <c r="H23" s="112">
        <v>254</v>
      </c>
      <c r="I23" s="112">
        <v>5</v>
      </c>
      <c r="J23" s="113">
        <v>47048</v>
      </c>
      <c r="K23" s="111" t="s">
        <v>548</v>
      </c>
      <c r="L23" s="112">
        <v>4</v>
      </c>
      <c r="M23" s="112">
        <v>3</v>
      </c>
      <c r="N23" s="112"/>
      <c r="O23" s="110"/>
      <c r="P23" s="112" t="s">
        <v>577</v>
      </c>
      <c r="Q23" s="111"/>
      <c r="R23" s="111"/>
      <c r="S23" s="112"/>
      <c r="T23" s="112"/>
      <c r="U23" s="112">
        <f>[21]Tabelle1!$L$3</f>
        <v>18</v>
      </c>
      <c r="V23" s="112">
        <f>[21]Tabelle1!$L$4</f>
        <v>6</v>
      </c>
      <c r="W23" s="112"/>
      <c r="X23" s="112"/>
      <c r="Y23" s="114" t="s">
        <v>677</v>
      </c>
      <c r="Z23" s="114" t="s">
        <v>716</v>
      </c>
      <c r="AA23" s="120" t="s">
        <v>777</v>
      </c>
    </row>
    <row r="24" spans="1:27" s="2" customFormat="1" ht="38.25" customHeight="1" x14ac:dyDescent="0.2">
      <c r="A24" s="109" t="s">
        <v>126</v>
      </c>
      <c r="B24" s="110">
        <v>2000</v>
      </c>
      <c r="C24" s="111" t="s">
        <v>309</v>
      </c>
      <c r="D24" s="110">
        <v>40</v>
      </c>
      <c r="E24" s="110" t="s">
        <v>222</v>
      </c>
      <c r="F24" s="112" t="s">
        <v>57</v>
      </c>
      <c r="G24" s="112" t="s">
        <v>274</v>
      </c>
      <c r="H24" s="112">
        <v>227</v>
      </c>
      <c r="I24" s="112">
        <v>1</v>
      </c>
      <c r="J24" s="113">
        <v>26023</v>
      </c>
      <c r="K24" s="111" t="s">
        <v>201</v>
      </c>
      <c r="L24" s="112">
        <v>16</v>
      </c>
      <c r="M24" s="112">
        <v>1</v>
      </c>
      <c r="N24" s="112"/>
      <c r="O24" s="110" t="s">
        <v>291</v>
      </c>
      <c r="P24" s="112">
        <v>2000</v>
      </c>
      <c r="Q24" s="111" t="s">
        <v>649</v>
      </c>
      <c r="R24" s="111" t="s">
        <v>465</v>
      </c>
      <c r="S24" s="112"/>
      <c r="T24" s="112">
        <v>1</v>
      </c>
      <c r="U24" s="112">
        <f>[22]Tabelle1!$L$3</f>
        <v>2</v>
      </c>
      <c r="V24" s="112">
        <f>[22]Tabelle1!$L$4</f>
        <v>0</v>
      </c>
      <c r="W24" s="112"/>
      <c r="X24" s="112"/>
      <c r="Y24" s="114"/>
      <c r="Z24" s="114"/>
      <c r="AA24" s="116"/>
    </row>
    <row r="25" spans="1:27" s="2" customFormat="1" ht="38.25" customHeight="1" x14ac:dyDescent="0.2">
      <c r="A25" s="109" t="s">
        <v>812</v>
      </c>
      <c r="B25" s="110" t="s">
        <v>76</v>
      </c>
      <c r="C25" s="111"/>
      <c r="D25" s="110"/>
      <c r="E25" s="110" t="s">
        <v>222</v>
      </c>
      <c r="F25" s="112"/>
      <c r="G25" s="119"/>
      <c r="H25" s="112"/>
      <c r="I25" s="112"/>
      <c r="J25" s="121">
        <v>28586</v>
      </c>
      <c r="K25" s="118" t="s">
        <v>201</v>
      </c>
      <c r="L25" s="121">
        <v>16</v>
      </c>
      <c r="M25" s="121"/>
      <c r="N25" s="121" t="s">
        <v>58</v>
      </c>
      <c r="O25" s="122" t="s">
        <v>534</v>
      </c>
      <c r="P25" s="121">
        <v>2000</v>
      </c>
      <c r="Q25" s="111" t="s">
        <v>649</v>
      </c>
      <c r="R25" s="111" t="s">
        <v>471</v>
      </c>
      <c r="S25" s="112"/>
      <c r="T25" s="112"/>
      <c r="U25" s="112"/>
      <c r="V25" s="112"/>
      <c r="W25" s="112"/>
      <c r="X25" s="112"/>
      <c r="Y25" s="114"/>
      <c r="Z25" s="114"/>
      <c r="AA25" s="116"/>
    </row>
    <row r="26" spans="1:27" s="2" customFormat="1" ht="38.25" customHeight="1" x14ac:dyDescent="0.2">
      <c r="A26" s="109" t="s">
        <v>127</v>
      </c>
      <c r="B26" s="110" t="s">
        <v>76</v>
      </c>
      <c r="C26" s="111" t="s">
        <v>310</v>
      </c>
      <c r="D26" s="110">
        <v>100</v>
      </c>
      <c r="E26" s="110" t="s">
        <v>222</v>
      </c>
      <c r="F26" s="112" t="s">
        <v>3</v>
      </c>
      <c r="G26" s="112" t="s">
        <v>472</v>
      </c>
      <c r="H26" s="112">
        <v>31</v>
      </c>
      <c r="I26" s="112">
        <v>2</v>
      </c>
      <c r="J26" s="113">
        <v>31917</v>
      </c>
      <c r="K26" s="111" t="s">
        <v>210</v>
      </c>
      <c r="L26" s="112">
        <v>32</v>
      </c>
      <c r="M26" s="112">
        <v>14</v>
      </c>
      <c r="N26" s="112"/>
      <c r="O26" s="110" t="s">
        <v>292</v>
      </c>
      <c r="P26" s="112">
        <v>2000</v>
      </c>
      <c r="Q26" s="111" t="s">
        <v>649</v>
      </c>
      <c r="R26" s="111" t="s">
        <v>465</v>
      </c>
      <c r="S26" s="112"/>
      <c r="T26" s="112">
        <v>1</v>
      </c>
      <c r="U26" s="112">
        <f>[23]Tabelle1!$L$3</f>
        <v>56</v>
      </c>
      <c r="V26" s="112">
        <f>[23]Tabelle1!$L$4</f>
        <v>0</v>
      </c>
      <c r="W26" s="112"/>
      <c r="X26" s="112"/>
      <c r="Y26" s="114"/>
      <c r="Z26" s="114"/>
      <c r="AA26" s="120" t="s">
        <v>785</v>
      </c>
    </row>
    <row r="27" spans="1:27" s="2" customFormat="1" ht="38.25" customHeight="1" x14ac:dyDescent="0.2">
      <c r="A27" s="109" t="s">
        <v>128</v>
      </c>
      <c r="B27" s="110">
        <v>2000</v>
      </c>
      <c r="C27" s="111" t="s">
        <v>311</v>
      </c>
      <c r="D27" s="110">
        <v>80</v>
      </c>
      <c r="E27" s="110" t="s">
        <v>222</v>
      </c>
      <c r="F27" s="112" t="s">
        <v>3</v>
      </c>
      <c r="G27" s="112" t="s">
        <v>267</v>
      </c>
      <c r="H27" s="112">
        <v>163</v>
      </c>
      <c r="I27" s="112">
        <v>1</v>
      </c>
      <c r="J27" s="123">
        <v>26048</v>
      </c>
      <c r="K27" s="111" t="s">
        <v>209</v>
      </c>
      <c r="L27" s="112">
        <v>16</v>
      </c>
      <c r="M27" s="112">
        <v>4</v>
      </c>
      <c r="N27" s="112"/>
      <c r="O27" s="110" t="s">
        <v>211</v>
      </c>
      <c r="P27" s="112">
        <v>2000</v>
      </c>
      <c r="Q27" s="111" t="s">
        <v>649</v>
      </c>
      <c r="R27" s="111" t="s">
        <v>471</v>
      </c>
      <c r="S27" s="112"/>
      <c r="T27" s="112">
        <v>1</v>
      </c>
      <c r="U27" s="112">
        <f>[24]Tabelle1!$L$3</f>
        <v>12</v>
      </c>
      <c r="V27" s="112">
        <f>[24]Tabelle1!$L$4</f>
        <v>0</v>
      </c>
      <c r="W27" s="112"/>
      <c r="X27" s="112"/>
      <c r="Y27" s="114"/>
      <c r="Z27" s="114"/>
      <c r="AA27" s="116"/>
    </row>
    <row r="28" spans="1:27" s="2" customFormat="1" ht="38.25" customHeight="1" x14ac:dyDescent="0.2">
      <c r="A28" s="109" t="s">
        <v>129</v>
      </c>
      <c r="B28" s="110">
        <v>2000</v>
      </c>
      <c r="C28" s="111" t="s">
        <v>772</v>
      </c>
      <c r="D28" s="110">
        <v>70</v>
      </c>
      <c r="E28" s="110" t="s">
        <v>222</v>
      </c>
      <c r="F28" s="112" t="s">
        <v>3</v>
      </c>
      <c r="G28" s="112" t="s">
        <v>270</v>
      </c>
      <c r="H28" s="112">
        <v>192</v>
      </c>
      <c r="I28" s="112">
        <v>1</v>
      </c>
      <c r="J28" s="113">
        <v>26032</v>
      </c>
      <c r="K28" s="111" t="s">
        <v>201</v>
      </c>
      <c r="L28" s="112">
        <v>16</v>
      </c>
      <c r="M28" s="112">
        <v>4</v>
      </c>
      <c r="N28" s="112"/>
      <c r="O28" s="110" t="s">
        <v>291</v>
      </c>
      <c r="P28" s="112">
        <v>2000</v>
      </c>
      <c r="Q28" s="111" t="s">
        <v>649</v>
      </c>
      <c r="R28" s="111" t="s">
        <v>465</v>
      </c>
      <c r="S28" s="112"/>
      <c r="T28" s="112">
        <v>2</v>
      </c>
      <c r="U28" s="112">
        <f>[25]Tabelle1!$L$3</f>
        <v>50</v>
      </c>
      <c r="V28" s="112">
        <f>[25]Tabelle1!$L$4</f>
        <v>6</v>
      </c>
      <c r="W28" s="112"/>
      <c r="X28" s="112"/>
      <c r="Y28" s="114"/>
      <c r="Z28" s="114"/>
      <c r="AA28" s="120" t="s">
        <v>648</v>
      </c>
    </row>
    <row r="29" spans="1:27" s="2" customFormat="1" ht="38.25" customHeight="1" x14ac:dyDescent="0.2">
      <c r="A29" s="109" t="s">
        <v>130</v>
      </c>
      <c r="B29" s="110">
        <v>2000</v>
      </c>
      <c r="C29" s="111" t="s">
        <v>313</v>
      </c>
      <c r="D29" s="110">
        <v>80</v>
      </c>
      <c r="E29" s="110" t="s">
        <v>222</v>
      </c>
      <c r="F29" s="112" t="s">
        <v>3</v>
      </c>
      <c r="G29" s="112" t="s">
        <v>267</v>
      </c>
      <c r="H29" s="112">
        <v>162</v>
      </c>
      <c r="I29" s="112">
        <v>1</v>
      </c>
      <c r="J29" s="113">
        <v>26033</v>
      </c>
      <c r="K29" s="111" t="s">
        <v>201</v>
      </c>
      <c r="L29" s="112">
        <v>16</v>
      </c>
      <c r="M29" s="112">
        <v>3</v>
      </c>
      <c r="N29" s="112"/>
      <c r="O29" s="110" t="s">
        <v>291</v>
      </c>
      <c r="P29" s="112">
        <v>2000</v>
      </c>
      <c r="Q29" s="111" t="s">
        <v>649</v>
      </c>
      <c r="R29" s="111" t="s">
        <v>465</v>
      </c>
      <c r="S29" s="112"/>
      <c r="T29" s="112">
        <v>1</v>
      </c>
      <c r="U29" s="112">
        <f>[26]Tabelle1!$L$3</f>
        <v>12</v>
      </c>
      <c r="V29" s="112">
        <f>[26]Tabelle1!$L$4</f>
        <v>4</v>
      </c>
      <c r="W29" s="112"/>
      <c r="X29" s="112"/>
      <c r="Y29" s="114"/>
      <c r="Z29" s="114"/>
      <c r="AA29" s="116"/>
    </row>
    <row r="30" spans="1:27" s="2" customFormat="1" ht="38.25" customHeight="1" x14ac:dyDescent="0.2">
      <c r="A30" s="109" t="s">
        <v>131</v>
      </c>
      <c r="B30" s="110">
        <v>2000</v>
      </c>
      <c r="C30" s="111" t="s">
        <v>314</v>
      </c>
      <c r="D30" s="110">
        <v>81</v>
      </c>
      <c r="E30" s="110" t="s">
        <v>222</v>
      </c>
      <c r="F30" s="112" t="s">
        <v>3</v>
      </c>
      <c r="G30" s="112" t="s">
        <v>267</v>
      </c>
      <c r="H30" s="112">
        <v>158</v>
      </c>
      <c r="I30" s="112">
        <v>1</v>
      </c>
      <c r="J30" s="113">
        <v>26029</v>
      </c>
      <c r="K30" s="111" t="s">
        <v>201</v>
      </c>
      <c r="L30" s="112">
        <v>16</v>
      </c>
      <c r="M30" s="112">
        <v>5</v>
      </c>
      <c r="N30" s="112"/>
      <c r="O30" s="110" t="s">
        <v>291</v>
      </c>
      <c r="P30" s="112">
        <v>2000</v>
      </c>
      <c r="Q30" s="111" t="s">
        <v>649</v>
      </c>
      <c r="R30" s="111" t="s">
        <v>465</v>
      </c>
      <c r="S30" s="112"/>
      <c r="T30" s="112">
        <v>1</v>
      </c>
      <c r="U30" s="112">
        <f>[27]Tabelle1!$L$3</f>
        <v>20</v>
      </c>
      <c r="V30" s="112">
        <f>[27]Tabelle1!$L$4</f>
        <v>4</v>
      </c>
      <c r="W30" s="112"/>
      <c r="X30" s="112"/>
      <c r="Y30" s="114"/>
      <c r="Z30" s="114"/>
      <c r="AA30" s="116"/>
    </row>
    <row r="31" spans="1:27" s="2" customFormat="1" ht="38.25" customHeight="1" x14ac:dyDescent="0.2">
      <c r="A31" s="109" t="s">
        <v>132</v>
      </c>
      <c r="B31" s="53" t="s">
        <v>416</v>
      </c>
      <c r="C31" s="111" t="s">
        <v>771</v>
      </c>
      <c r="D31" s="110" t="s">
        <v>195</v>
      </c>
      <c r="E31" s="110" t="s">
        <v>222</v>
      </c>
      <c r="F31" s="112" t="s">
        <v>57</v>
      </c>
      <c r="G31" s="112" t="s">
        <v>242</v>
      </c>
      <c r="H31" s="112">
        <v>129</v>
      </c>
      <c r="I31" s="112">
        <v>1</v>
      </c>
      <c r="J31" s="68">
        <v>46986</v>
      </c>
      <c r="K31" s="118" t="s">
        <v>515</v>
      </c>
      <c r="L31" s="112">
        <v>16</v>
      </c>
      <c r="M31" s="112">
        <v>14</v>
      </c>
      <c r="N31" s="112"/>
      <c r="O31" s="110" t="s">
        <v>211</v>
      </c>
      <c r="P31" s="121" t="s">
        <v>417</v>
      </c>
      <c r="Q31" s="111" t="s">
        <v>649</v>
      </c>
      <c r="R31" s="112"/>
      <c r="S31" s="112"/>
      <c r="T31" s="112">
        <v>1</v>
      </c>
      <c r="U31" s="112">
        <f>[28]Tabelle1!$L$3</f>
        <v>16</v>
      </c>
      <c r="V31" s="112">
        <f>[28]Tabelle1!$L$4</f>
        <v>5</v>
      </c>
      <c r="W31" s="112"/>
      <c r="X31" s="112"/>
      <c r="Y31" s="114" t="s">
        <v>688</v>
      </c>
      <c r="Z31" s="114"/>
      <c r="AA31" s="116" t="s">
        <v>775</v>
      </c>
    </row>
    <row r="32" spans="1:27" s="2" customFormat="1" ht="38.25" customHeight="1" x14ac:dyDescent="0.2">
      <c r="A32" s="109" t="s">
        <v>133</v>
      </c>
      <c r="B32" s="122" t="s">
        <v>76</v>
      </c>
      <c r="C32" s="111" t="s">
        <v>317</v>
      </c>
      <c r="D32" s="110">
        <v>30</v>
      </c>
      <c r="E32" s="110" t="s">
        <v>222</v>
      </c>
      <c r="F32" s="112" t="s">
        <v>57</v>
      </c>
      <c r="G32" s="112" t="s">
        <v>275</v>
      </c>
      <c r="H32" s="112">
        <v>221</v>
      </c>
      <c r="I32" s="112">
        <v>1</v>
      </c>
      <c r="J32" s="123">
        <v>31584</v>
      </c>
      <c r="K32" s="111" t="s">
        <v>210</v>
      </c>
      <c r="L32" s="112">
        <v>16</v>
      </c>
      <c r="M32" s="112">
        <v>2</v>
      </c>
      <c r="N32" s="124"/>
      <c r="O32" s="112" t="s">
        <v>211</v>
      </c>
      <c r="P32" s="112">
        <v>2000</v>
      </c>
      <c r="Q32" s="111" t="s">
        <v>649</v>
      </c>
      <c r="R32" s="111" t="s">
        <v>465</v>
      </c>
      <c r="S32" s="121"/>
      <c r="T32" s="112">
        <v>1</v>
      </c>
      <c r="U32" s="112">
        <f>[29]Tabelle1!$L$3</f>
        <v>6</v>
      </c>
      <c r="V32" s="112">
        <f>[29]Tabelle1!$L$4</f>
        <v>3</v>
      </c>
      <c r="W32" s="121"/>
      <c r="X32" s="121"/>
      <c r="Y32" s="114"/>
      <c r="Z32" s="114" t="s">
        <v>588</v>
      </c>
      <c r="AA32" s="116" t="s">
        <v>775</v>
      </c>
    </row>
    <row r="33" spans="1:27" s="2" customFormat="1" ht="38.25" customHeight="1" x14ac:dyDescent="0.2">
      <c r="A33" s="109" t="s">
        <v>134</v>
      </c>
      <c r="B33" s="110">
        <v>2000</v>
      </c>
      <c r="C33" s="111" t="s">
        <v>318</v>
      </c>
      <c r="D33" s="110">
        <v>80</v>
      </c>
      <c r="E33" s="110" t="s">
        <v>222</v>
      </c>
      <c r="F33" s="112" t="s">
        <v>3</v>
      </c>
      <c r="G33" s="112" t="s">
        <v>266</v>
      </c>
      <c r="H33" s="112">
        <v>155</v>
      </c>
      <c r="I33" s="112">
        <v>1</v>
      </c>
      <c r="J33" s="113">
        <v>25899</v>
      </c>
      <c r="K33" s="111" t="s">
        <v>201</v>
      </c>
      <c r="L33" s="112">
        <v>16</v>
      </c>
      <c r="M33" s="112">
        <v>5</v>
      </c>
      <c r="N33" s="112"/>
      <c r="O33" s="110" t="s">
        <v>291</v>
      </c>
      <c r="P33" s="112">
        <v>2000</v>
      </c>
      <c r="Q33" s="111" t="s">
        <v>649</v>
      </c>
      <c r="R33" s="111" t="s">
        <v>465</v>
      </c>
      <c r="S33" s="112"/>
      <c r="T33" s="112">
        <v>1</v>
      </c>
      <c r="U33" s="112">
        <f>[30]Tabelle1!$L$3</f>
        <v>10</v>
      </c>
      <c r="V33" s="112">
        <f>[30]Tabelle1!$L$4</f>
        <v>2</v>
      </c>
      <c r="W33" s="112"/>
      <c r="X33" s="112"/>
      <c r="Y33" s="114"/>
      <c r="Z33" s="114"/>
      <c r="AA33" s="116"/>
    </row>
    <row r="34" spans="1:27" s="2" customFormat="1" ht="38.25" customHeight="1" x14ac:dyDescent="0.2">
      <c r="A34" s="109" t="s">
        <v>135</v>
      </c>
      <c r="B34" s="110">
        <v>2000</v>
      </c>
      <c r="C34" s="111" t="s">
        <v>319</v>
      </c>
      <c r="D34" s="110">
        <v>80</v>
      </c>
      <c r="E34" s="110" t="s">
        <v>222</v>
      </c>
      <c r="F34" s="112" t="s">
        <v>3</v>
      </c>
      <c r="G34" s="112" t="s">
        <v>266</v>
      </c>
      <c r="H34" s="112">
        <v>154</v>
      </c>
      <c r="I34" s="112">
        <v>1</v>
      </c>
      <c r="J34" s="113">
        <v>25895</v>
      </c>
      <c r="K34" s="111" t="s">
        <v>201</v>
      </c>
      <c r="L34" s="112">
        <v>16</v>
      </c>
      <c r="M34" s="112">
        <v>5</v>
      </c>
      <c r="N34" s="112"/>
      <c r="O34" s="110" t="s">
        <v>291</v>
      </c>
      <c r="P34" s="112">
        <v>2000</v>
      </c>
      <c r="Q34" s="111" t="s">
        <v>649</v>
      </c>
      <c r="R34" s="111" t="s">
        <v>465</v>
      </c>
      <c r="S34" s="112"/>
      <c r="T34" s="112">
        <v>1</v>
      </c>
      <c r="U34" s="112">
        <f>[31]Tabelle1!$L$3</f>
        <v>25</v>
      </c>
      <c r="V34" s="112">
        <f>[31]Tabelle1!$L$4</f>
        <v>5</v>
      </c>
      <c r="W34" s="112"/>
      <c r="X34" s="112"/>
      <c r="Y34" s="114"/>
      <c r="Z34" s="114"/>
      <c r="AA34" s="116" t="s">
        <v>517</v>
      </c>
    </row>
    <row r="35" spans="1:27" s="2" customFormat="1" ht="38.25" customHeight="1" x14ac:dyDescent="0.2">
      <c r="A35" s="109" t="s">
        <v>136</v>
      </c>
      <c r="B35" s="110" t="s">
        <v>65</v>
      </c>
      <c r="C35" s="111" t="s">
        <v>320</v>
      </c>
      <c r="D35" s="110" t="s">
        <v>195</v>
      </c>
      <c r="E35" s="110" t="s">
        <v>222</v>
      </c>
      <c r="F35" s="112" t="s">
        <v>57</v>
      </c>
      <c r="G35" s="112" t="s">
        <v>272</v>
      </c>
      <c r="H35" s="112">
        <v>230</v>
      </c>
      <c r="I35" s="112">
        <v>1</v>
      </c>
      <c r="J35" s="113" t="s">
        <v>194</v>
      </c>
      <c r="K35" s="111" t="s">
        <v>288</v>
      </c>
      <c r="L35" s="112" t="s">
        <v>194</v>
      </c>
      <c r="M35" s="112" t="s">
        <v>194</v>
      </c>
      <c r="N35" s="112"/>
      <c r="O35" s="112" t="s">
        <v>65</v>
      </c>
      <c r="P35" s="112" t="s">
        <v>65</v>
      </c>
      <c r="Q35" s="111" t="s">
        <v>649</v>
      </c>
      <c r="R35" s="112"/>
      <c r="S35" s="112"/>
      <c r="T35" s="112"/>
      <c r="U35" s="112">
        <f>[32]Tabelle1!$L$3</f>
        <v>8</v>
      </c>
      <c r="V35" s="112">
        <f>[32]Tabelle1!$L$4</f>
        <v>2</v>
      </c>
      <c r="W35" s="112"/>
      <c r="X35" s="112"/>
      <c r="Y35" s="114"/>
      <c r="Z35" s="114"/>
      <c r="AA35" s="116" t="s">
        <v>778</v>
      </c>
    </row>
    <row r="36" spans="1:27" s="2" customFormat="1" ht="38.25" customHeight="1" x14ac:dyDescent="0.2">
      <c r="A36" s="109" t="s">
        <v>137</v>
      </c>
      <c r="B36" s="110" t="s">
        <v>539</v>
      </c>
      <c r="C36" s="111" t="s">
        <v>299</v>
      </c>
      <c r="D36" s="110" t="s">
        <v>195</v>
      </c>
      <c r="E36" s="110" t="s">
        <v>222</v>
      </c>
      <c r="F36" s="112" t="s">
        <v>57</v>
      </c>
      <c r="G36" s="112" t="s">
        <v>273</v>
      </c>
      <c r="H36" s="112">
        <v>343</v>
      </c>
      <c r="I36" s="112">
        <v>1</v>
      </c>
      <c r="J36" s="113">
        <v>47439</v>
      </c>
      <c r="K36" s="118" t="s">
        <v>548</v>
      </c>
      <c r="L36" s="112">
        <v>4</v>
      </c>
      <c r="M36" s="112">
        <v>4</v>
      </c>
      <c r="N36" s="112"/>
      <c r="O36" s="112" t="s">
        <v>211</v>
      </c>
      <c r="P36" s="112" t="s">
        <v>636</v>
      </c>
      <c r="Q36" s="111" t="s">
        <v>649</v>
      </c>
      <c r="R36" s="112"/>
      <c r="S36" s="112"/>
      <c r="T36" s="112"/>
      <c r="U36" s="112">
        <f>[33]Tabelle1!$L$3</f>
        <v>18</v>
      </c>
      <c r="V36" s="112">
        <f>[33]Tabelle1!$L$4</f>
        <v>6</v>
      </c>
      <c r="W36" s="112"/>
      <c r="X36" s="112"/>
      <c r="Y36" s="114" t="s">
        <v>680</v>
      </c>
      <c r="Z36" s="114"/>
      <c r="AA36" s="116" t="s">
        <v>839</v>
      </c>
    </row>
    <row r="37" spans="1:27" s="2" customFormat="1" ht="38.25" customHeight="1" x14ac:dyDescent="0.2">
      <c r="A37" s="109" t="s">
        <v>138</v>
      </c>
      <c r="B37" s="110" t="s">
        <v>65</v>
      </c>
      <c r="C37" s="111" t="s">
        <v>321</v>
      </c>
      <c r="D37" s="110" t="s">
        <v>195</v>
      </c>
      <c r="E37" s="110" t="s">
        <v>222</v>
      </c>
      <c r="F37" s="112" t="s">
        <v>57</v>
      </c>
      <c r="G37" s="112" t="s">
        <v>158</v>
      </c>
      <c r="H37" s="112">
        <v>186</v>
      </c>
      <c r="I37" s="112">
        <v>1</v>
      </c>
      <c r="J37" s="113" t="s">
        <v>194</v>
      </c>
      <c r="K37" s="111" t="s">
        <v>288</v>
      </c>
      <c r="L37" s="112" t="s">
        <v>194</v>
      </c>
      <c r="M37" s="112" t="s">
        <v>194</v>
      </c>
      <c r="N37" s="112"/>
      <c r="O37" s="112" t="s">
        <v>65</v>
      </c>
      <c r="P37" s="112" t="s">
        <v>65</v>
      </c>
      <c r="Q37" s="111" t="s">
        <v>649</v>
      </c>
      <c r="R37" s="112"/>
      <c r="S37" s="112"/>
      <c r="T37" s="112"/>
      <c r="U37" s="112">
        <f>[34]Tabelle1!$L$3</f>
        <v>9</v>
      </c>
      <c r="V37" s="112">
        <f>[34]Tabelle1!$L$4</f>
        <v>7</v>
      </c>
      <c r="W37" s="112"/>
      <c r="X37" s="112"/>
      <c r="Y37" s="114"/>
      <c r="Z37" s="114"/>
      <c r="AA37" s="116" t="s">
        <v>778</v>
      </c>
    </row>
    <row r="38" spans="1:27" s="2" customFormat="1" ht="38.25" customHeight="1" x14ac:dyDescent="0.2">
      <c r="A38" s="109" t="s">
        <v>276</v>
      </c>
      <c r="B38" s="110" t="s">
        <v>76</v>
      </c>
      <c r="C38" s="111" t="s">
        <v>322</v>
      </c>
      <c r="D38" s="110" t="s">
        <v>195</v>
      </c>
      <c r="E38" s="110" t="s">
        <v>222</v>
      </c>
      <c r="F38" s="112" t="s">
        <v>57</v>
      </c>
      <c r="G38" s="112" t="s">
        <v>272</v>
      </c>
      <c r="H38" s="112">
        <v>222</v>
      </c>
      <c r="I38" s="112">
        <v>1</v>
      </c>
      <c r="J38" s="113">
        <v>34776</v>
      </c>
      <c r="K38" s="111" t="s">
        <v>289</v>
      </c>
      <c r="L38" s="112">
        <v>16</v>
      </c>
      <c r="M38" s="112">
        <v>2</v>
      </c>
      <c r="N38" s="112"/>
      <c r="O38" s="110" t="s">
        <v>211</v>
      </c>
      <c r="P38" s="112">
        <v>2000</v>
      </c>
      <c r="Q38" s="111" t="s">
        <v>649</v>
      </c>
      <c r="R38" s="111" t="s">
        <v>465</v>
      </c>
      <c r="S38" s="112"/>
      <c r="T38" s="112">
        <v>1</v>
      </c>
      <c r="U38" s="112">
        <f>[35]Tabelle1!$L$3</f>
        <v>3</v>
      </c>
      <c r="V38" s="112">
        <f>[35]Tabelle1!$L$4</f>
        <v>15</v>
      </c>
      <c r="W38" s="112"/>
      <c r="X38" s="112"/>
      <c r="Y38" s="114"/>
      <c r="Z38" s="114"/>
      <c r="AA38" s="116" t="s">
        <v>775</v>
      </c>
    </row>
    <row r="39" spans="1:27" s="2" customFormat="1" ht="38.25" customHeight="1" x14ac:dyDescent="0.2">
      <c r="A39" s="38" t="s">
        <v>2</v>
      </c>
      <c r="B39" s="8" t="s">
        <v>76</v>
      </c>
      <c r="C39" s="9" t="s">
        <v>333</v>
      </c>
      <c r="D39" s="8">
        <v>20</v>
      </c>
      <c r="E39" s="8" t="s">
        <v>330</v>
      </c>
      <c r="F39" s="6" t="s">
        <v>3</v>
      </c>
      <c r="G39" s="6" t="s">
        <v>463</v>
      </c>
      <c r="H39" s="6">
        <v>271</v>
      </c>
      <c r="I39" s="6">
        <v>5</v>
      </c>
      <c r="J39" s="7">
        <v>29786</v>
      </c>
      <c r="K39" s="16" t="s">
        <v>202</v>
      </c>
      <c r="L39" s="6">
        <v>16</v>
      </c>
      <c r="M39" s="6">
        <v>0</v>
      </c>
      <c r="N39" s="8" t="s">
        <v>528</v>
      </c>
      <c r="O39" s="8" t="s">
        <v>211</v>
      </c>
      <c r="P39" s="6" t="s">
        <v>224</v>
      </c>
      <c r="Q39" s="31" t="s">
        <v>860</v>
      </c>
      <c r="R39" s="9" t="s">
        <v>474</v>
      </c>
      <c r="S39" s="6"/>
      <c r="T39" s="6">
        <v>2</v>
      </c>
      <c r="U39" s="43">
        <f>[36]Tabelle1!$L$3</f>
        <v>0</v>
      </c>
      <c r="V39" s="46">
        <f>[36]Tabelle1!$L$4</f>
        <v>100</v>
      </c>
      <c r="W39" s="6"/>
      <c r="X39" s="6"/>
      <c r="Y39" s="91"/>
      <c r="Z39" s="91"/>
      <c r="AA39" s="25"/>
    </row>
    <row r="40" spans="1:27" s="2" customFormat="1" ht="38.25" customHeight="1" x14ac:dyDescent="0.2">
      <c r="A40" s="38" t="s">
        <v>4</v>
      </c>
      <c r="B40" s="8">
        <v>2000</v>
      </c>
      <c r="C40" s="9" t="s">
        <v>395</v>
      </c>
      <c r="D40" s="8" t="s">
        <v>334</v>
      </c>
      <c r="E40" s="8" t="s">
        <v>208</v>
      </c>
      <c r="F40" s="6" t="s">
        <v>3</v>
      </c>
      <c r="G40" s="6" t="s">
        <v>252</v>
      </c>
      <c r="H40" s="6">
        <v>266</v>
      </c>
      <c r="I40" s="6">
        <v>2</v>
      </c>
      <c r="J40" s="12">
        <v>26015</v>
      </c>
      <c r="K40" s="34" t="s">
        <v>201</v>
      </c>
      <c r="L40" s="6">
        <v>16</v>
      </c>
      <c r="M40" s="6">
        <v>13</v>
      </c>
      <c r="N40" s="8" t="s">
        <v>526</v>
      </c>
      <c r="O40" s="8"/>
      <c r="P40" s="6">
        <v>2000</v>
      </c>
      <c r="Q40" s="31" t="s">
        <v>860</v>
      </c>
      <c r="R40" s="31" t="s">
        <v>465</v>
      </c>
      <c r="S40" s="6"/>
      <c r="T40" s="6">
        <v>4</v>
      </c>
      <c r="U40" s="43">
        <f>[37]Tabelle1!$L$3</f>
        <v>20</v>
      </c>
      <c r="V40" s="46">
        <f>[37]Tabelle1!$L$4</f>
        <v>36</v>
      </c>
      <c r="W40" s="6"/>
      <c r="X40" s="6"/>
      <c r="Y40" s="91"/>
      <c r="Z40" s="91"/>
      <c r="AA40" s="25"/>
    </row>
    <row r="41" spans="1:27" s="2" customFormat="1" ht="38.25" customHeight="1" x14ac:dyDescent="0.2">
      <c r="A41" s="38" t="s">
        <v>5</v>
      </c>
      <c r="B41" s="53" t="s">
        <v>416</v>
      </c>
      <c r="C41" s="9" t="s">
        <v>427</v>
      </c>
      <c r="D41" s="8">
        <v>10</v>
      </c>
      <c r="E41" s="8" t="s">
        <v>330</v>
      </c>
      <c r="F41" s="6" t="s">
        <v>53</v>
      </c>
      <c r="G41" s="17" t="s">
        <v>234</v>
      </c>
      <c r="H41" s="6"/>
      <c r="I41" s="6">
        <v>5</v>
      </c>
      <c r="J41" s="11">
        <v>47434</v>
      </c>
      <c r="K41" s="34" t="s">
        <v>548</v>
      </c>
      <c r="L41" s="6">
        <v>16</v>
      </c>
      <c r="M41" s="6"/>
      <c r="N41" s="6"/>
      <c r="O41" s="8" t="s">
        <v>211</v>
      </c>
      <c r="P41" s="6" t="s">
        <v>577</v>
      </c>
      <c r="Q41" s="31" t="s">
        <v>860</v>
      </c>
      <c r="R41" s="9"/>
      <c r="S41" s="6"/>
      <c r="T41" s="6">
        <v>2</v>
      </c>
      <c r="U41" s="43">
        <f>[38]Tabelle1!$L$3</f>
        <v>72</v>
      </c>
      <c r="V41" s="46">
        <f>[38]Tabelle1!$L$4</f>
        <v>12</v>
      </c>
      <c r="W41" s="6"/>
      <c r="X41" s="6"/>
      <c r="Y41" s="6" t="s">
        <v>679</v>
      </c>
      <c r="Z41" s="6"/>
      <c r="AA41" s="27"/>
    </row>
    <row r="42" spans="1:27" s="2" customFormat="1" ht="38.25" customHeight="1" x14ac:dyDescent="0.2">
      <c r="A42" s="38" t="s">
        <v>8</v>
      </c>
      <c r="B42" s="8" t="s">
        <v>76</v>
      </c>
      <c r="C42" s="9" t="s">
        <v>427</v>
      </c>
      <c r="D42" s="8">
        <v>30</v>
      </c>
      <c r="E42" s="8" t="s">
        <v>330</v>
      </c>
      <c r="F42" s="6" t="s">
        <v>53</v>
      </c>
      <c r="G42" s="17" t="s">
        <v>715</v>
      </c>
      <c r="H42" s="6">
        <v>210</v>
      </c>
      <c r="I42" s="6">
        <v>5</v>
      </c>
      <c r="J42" s="11">
        <v>32540</v>
      </c>
      <c r="K42" s="34" t="s">
        <v>290</v>
      </c>
      <c r="L42" s="6">
        <v>16</v>
      </c>
      <c r="M42" s="6">
        <v>9</v>
      </c>
      <c r="N42" s="6"/>
      <c r="O42" s="8" t="s">
        <v>211</v>
      </c>
      <c r="P42" s="6">
        <v>2000</v>
      </c>
      <c r="Q42" s="31" t="s">
        <v>860</v>
      </c>
      <c r="R42" s="31" t="s">
        <v>471</v>
      </c>
      <c r="S42" s="6"/>
      <c r="T42" s="6">
        <v>2</v>
      </c>
      <c r="U42" s="43">
        <f>[39]Tabelle1!$L$3</f>
        <v>24</v>
      </c>
      <c r="V42" s="46">
        <f>[39]Tabelle1!$L$4</f>
        <v>96</v>
      </c>
      <c r="W42" s="6"/>
      <c r="X42" s="6"/>
      <c r="Y42" s="91"/>
      <c r="Z42" s="91"/>
      <c r="AA42" s="25"/>
    </row>
    <row r="43" spans="1:27" s="2" customFormat="1" ht="38.25" customHeight="1" x14ac:dyDescent="0.2">
      <c r="A43" s="38" t="s">
        <v>6</v>
      </c>
      <c r="B43" s="8" t="s">
        <v>76</v>
      </c>
      <c r="C43" s="9" t="s">
        <v>335</v>
      </c>
      <c r="D43" s="8" t="s">
        <v>195</v>
      </c>
      <c r="E43" s="8" t="s">
        <v>208</v>
      </c>
      <c r="F43" s="15" t="s">
        <v>3</v>
      </c>
      <c r="G43" s="15" t="s">
        <v>254</v>
      </c>
      <c r="H43" s="15">
        <v>310</v>
      </c>
      <c r="I43" s="6">
        <v>2</v>
      </c>
      <c r="J43" s="11">
        <v>34642</v>
      </c>
      <c r="K43" s="16" t="s">
        <v>210</v>
      </c>
      <c r="L43" s="6">
        <v>16</v>
      </c>
      <c r="M43" s="6">
        <v>11</v>
      </c>
      <c r="N43" s="6" t="s">
        <v>213</v>
      </c>
      <c r="O43" s="8" t="s">
        <v>211</v>
      </c>
      <c r="P43" s="6" t="s">
        <v>224</v>
      </c>
      <c r="Q43" s="31" t="s">
        <v>860</v>
      </c>
      <c r="R43" s="9" t="s">
        <v>435</v>
      </c>
      <c r="S43" s="6"/>
      <c r="T43" s="6">
        <v>19</v>
      </c>
      <c r="U43" s="43">
        <f>[40]Tabelle1!$L$3</f>
        <v>0</v>
      </c>
      <c r="V43" s="80">
        <f>[40]Tabelle1!$L$4</f>
        <v>48</v>
      </c>
      <c r="W43" s="6"/>
      <c r="X43" s="6"/>
      <c r="Y43" s="91"/>
      <c r="Z43" s="91"/>
      <c r="AA43" s="25"/>
    </row>
    <row r="44" spans="1:27" s="2" customFormat="1" ht="38.25" customHeight="1" x14ac:dyDescent="0.2">
      <c r="A44" s="38" t="s">
        <v>7</v>
      </c>
      <c r="B44" s="8">
        <v>2000</v>
      </c>
      <c r="C44" s="9" t="s">
        <v>299</v>
      </c>
      <c r="D44" s="8" t="s">
        <v>195</v>
      </c>
      <c r="E44" s="8" t="s">
        <v>208</v>
      </c>
      <c r="F44" s="6" t="s">
        <v>57</v>
      </c>
      <c r="G44" s="6" t="s">
        <v>277</v>
      </c>
      <c r="H44" s="6">
        <v>303</v>
      </c>
      <c r="I44" s="6">
        <v>1</v>
      </c>
      <c r="J44" s="12">
        <v>25784</v>
      </c>
      <c r="K44" s="16" t="s">
        <v>201</v>
      </c>
      <c r="L44" s="6">
        <v>16</v>
      </c>
      <c r="M44" s="6">
        <v>10</v>
      </c>
      <c r="N44" s="6"/>
      <c r="O44" s="8" t="s">
        <v>211</v>
      </c>
      <c r="P44" s="6">
        <v>2000</v>
      </c>
      <c r="Q44" s="31" t="s">
        <v>860</v>
      </c>
      <c r="R44" s="31" t="s">
        <v>465</v>
      </c>
      <c r="S44" s="6"/>
      <c r="T44" s="6">
        <v>1</v>
      </c>
      <c r="U44" s="43">
        <f>[40]Tabelle1!$L$3</f>
        <v>0</v>
      </c>
      <c r="V44" s="46">
        <f>[40]Tabelle1!$L$4</f>
        <v>48</v>
      </c>
      <c r="W44" s="6"/>
      <c r="X44" s="6"/>
      <c r="Y44" s="91"/>
      <c r="Z44" s="91"/>
      <c r="AA44" s="25"/>
    </row>
    <row r="45" spans="1:27" s="2" customFormat="1" ht="38.25" customHeight="1" x14ac:dyDescent="0.2">
      <c r="A45" s="38" t="s">
        <v>9</v>
      </c>
      <c r="B45" s="53" t="s">
        <v>416</v>
      </c>
      <c r="C45" s="9" t="s">
        <v>336</v>
      </c>
      <c r="D45" s="8" t="s">
        <v>195</v>
      </c>
      <c r="E45" s="8" t="s">
        <v>208</v>
      </c>
      <c r="F45" s="6" t="s">
        <v>57</v>
      </c>
      <c r="G45" s="6" t="s">
        <v>70</v>
      </c>
      <c r="H45" s="6">
        <v>259</v>
      </c>
      <c r="I45" s="6">
        <v>1</v>
      </c>
      <c r="J45" s="68">
        <v>42093</v>
      </c>
      <c r="K45" s="16" t="s">
        <v>515</v>
      </c>
      <c r="L45" s="6">
        <v>16</v>
      </c>
      <c r="M45" s="6">
        <v>6</v>
      </c>
      <c r="N45" s="6"/>
      <c r="O45" s="8" t="s">
        <v>211</v>
      </c>
      <c r="P45" s="6" t="s">
        <v>466</v>
      </c>
      <c r="Q45" s="31" t="s">
        <v>860</v>
      </c>
      <c r="R45" s="31" t="s">
        <v>470</v>
      </c>
      <c r="S45" s="6"/>
      <c r="T45" s="6">
        <v>1</v>
      </c>
      <c r="U45" s="43">
        <f>[41]Tabelle1!$L$3</f>
        <v>24</v>
      </c>
      <c r="V45" s="46">
        <f>[41]Tabelle1!$L$4</f>
        <v>0</v>
      </c>
      <c r="W45" s="6"/>
      <c r="X45" s="6"/>
      <c r="Y45" s="91"/>
      <c r="Z45" s="91" t="s">
        <v>584</v>
      </c>
      <c r="AA45" s="57"/>
    </row>
    <row r="46" spans="1:27" s="2" customFormat="1" ht="38.25" customHeight="1" x14ac:dyDescent="0.2">
      <c r="A46" s="38" t="s">
        <v>10</v>
      </c>
      <c r="B46" s="8" t="s">
        <v>76</v>
      </c>
      <c r="C46" s="9" t="s">
        <v>337</v>
      </c>
      <c r="D46" s="8" t="s">
        <v>195</v>
      </c>
      <c r="E46" s="8" t="s">
        <v>208</v>
      </c>
      <c r="F46" s="15" t="s">
        <v>57</v>
      </c>
      <c r="G46" s="15" t="s">
        <v>630</v>
      </c>
      <c r="H46" s="15">
        <v>307</v>
      </c>
      <c r="I46" s="6">
        <v>1</v>
      </c>
      <c r="J46" s="12">
        <v>27616</v>
      </c>
      <c r="K46" s="16" t="s">
        <v>201</v>
      </c>
      <c r="L46" s="6">
        <v>24</v>
      </c>
      <c r="M46" s="6">
        <v>21</v>
      </c>
      <c r="N46" s="6"/>
      <c r="O46" s="8" t="s">
        <v>211</v>
      </c>
      <c r="P46" s="6" t="s">
        <v>224</v>
      </c>
      <c r="Q46" s="31" t="s">
        <v>860</v>
      </c>
      <c r="R46" s="9" t="s">
        <v>470</v>
      </c>
      <c r="S46" s="6"/>
      <c r="T46" s="6">
        <v>5</v>
      </c>
      <c r="U46" s="43">
        <f>[42]Tabelle1!$L$3</f>
        <v>228</v>
      </c>
      <c r="V46" s="46">
        <f>[42]Tabelle1!$L$4</f>
        <v>42</v>
      </c>
      <c r="W46" s="6"/>
      <c r="X46" s="6"/>
      <c r="Y46" s="91"/>
      <c r="Z46" s="91"/>
      <c r="AA46" s="29"/>
    </row>
    <row r="47" spans="1:27" s="2" customFormat="1" ht="38.25" customHeight="1" x14ac:dyDescent="0.2">
      <c r="A47" s="38" t="s">
        <v>11</v>
      </c>
      <c r="B47" s="53" t="s">
        <v>416</v>
      </c>
      <c r="C47" s="9" t="s">
        <v>338</v>
      </c>
      <c r="D47" s="8" t="s">
        <v>195</v>
      </c>
      <c r="E47" s="8" t="s">
        <v>208</v>
      </c>
      <c r="F47" s="6" t="s">
        <v>57</v>
      </c>
      <c r="G47" s="6" t="s">
        <v>242</v>
      </c>
      <c r="H47" s="6">
        <v>278</v>
      </c>
      <c r="I47" s="6">
        <v>1</v>
      </c>
      <c r="J47" s="68">
        <v>45915</v>
      </c>
      <c r="K47" s="16" t="s">
        <v>515</v>
      </c>
      <c r="L47" s="6">
        <v>16</v>
      </c>
      <c r="M47" s="6">
        <v>15</v>
      </c>
      <c r="N47" s="6"/>
      <c r="O47" s="8" t="s">
        <v>211</v>
      </c>
      <c r="P47" s="6" t="s">
        <v>417</v>
      </c>
      <c r="Q47" s="31" t="s">
        <v>860</v>
      </c>
      <c r="R47" s="31" t="s">
        <v>464</v>
      </c>
      <c r="S47" s="6"/>
      <c r="T47" s="6">
        <v>5</v>
      </c>
      <c r="U47" s="43">
        <f>[43]Tabelle1!$L$3</f>
        <v>91</v>
      </c>
      <c r="V47" s="46">
        <f>[43]Tabelle1!$L$4</f>
        <v>4</v>
      </c>
      <c r="W47" s="6"/>
      <c r="X47" s="6"/>
      <c r="Y47" s="91"/>
      <c r="Z47" s="91"/>
      <c r="AA47" s="29"/>
    </row>
    <row r="48" spans="1:27" s="2" customFormat="1" ht="38.25" customHeight="1" x14ac:dyDescent="0.2">
      <c r="A48" s="38" t="s">
        <v>12</v>
      </c>
      <c r="B48" s="53" t="s">
        <v>416</v>
      </c>
      <c r="C48" s="9" t="s">
        <v>339</v>
      </c>
      <c r="D48" s="8" t="s">
        <v>195</v>
      </c>
      <c r="E48" s="8" t="s">
        <v>208</v>
      </c>
      <c r="F48" s="15" t="s">
        <v>57</v>
      </c>
      <c r="G48" s="15" t="s">
        <v>446</v>
      </c>
      <c r="H48" s="15">
        <v>304</v>
      </c>
      <c r="I48" s="6">
        <v>1</v>
      </c>
      <c r="J48" s="68">
        <v>41899</v>
      </c>
      <c r="K48" s="16" t="s">
        <v>515</v>
      </c>
      <c r="L48" s="6">
        <v>24</v>
      </c>
      <c r="M48" s="6">
        <v>20</v>
      </c>
      <c r="N48" s="6"/>
      <c r="O48" s="8" t="s">
        <v>211</v>
      </c>
      <c r="P48" s="6" t="s">
        <v>417</v>
      </c>
      <c r="Q48" s="31" t="s">
        <v>860</v>
      </c>
      <c r="R48" s="31" t="s">
        <v>470</v>
      </c>
      <c r="S48" s="6"/>
      <c r="T48" s="6">
        <v>4</v>
      </c>
      <c r="U48" s="43">
        <f>[44]Tabelle1!$L$3</f>
        <v>324</v>
      </c>
      <c r="V48" s="46">
        <f>[44]Tabelle1!$L$4</f>
        <v>0</v>
      </c>
      <c r="W48" s="6"/>
      <c r="X48" s="6"/>
      <c r="Y48" s="91"/>
      <c r="Z48" s="91" t="s">
        <v>642</v>
      </c>
      <c r="AA48" s="57"/>
    </row>
    <row r="49" spans="1:27" s="2" customFormat="1" ht="38.25" customHeight="1" x14ac:dyDescent="0.2">
      <c r="A49" s="38" t="s">
        <v>13</v>
      </c>
      <c r="B49" s="53" t="s">
        <v>416</v>
      </c>
      <c r="C49" s="9" t="s">
        <v>340</v>
      </c>
      <c r="D49" s="8" t="s">
        <v>195</v>
      </c>
      <c r="E49" s="8" t="s">
        <v>208</v>
      </c>
      <c r="F49" s="6" t="s">
        <v>57</v>
      </c>
      <c r="G49" s="6" t="s">
        <v>284</v>
      </c>
      <c r="H49" s="6">
        <v>305</v>
      </c>
      <c r="I49" s="6">
        <v>1</v>
      </c>
      <c r="J49" s="19">
        <v>46629</v>
      </c>
      <c r="K49" s="34" t="s">
        <v>515</v>
      </c>
      <c r="L49" s="19">
        <v>16</v>
      </c>
      <c r="M49" s="19">
        <v>0</v>
      </c>
      <c r="N49" s="19" t="s">
        <v>524</v>
      </c>
      <c r="O49" s="22" t="s">
        <v>534</v>
      </c>
      <c r="P49" s="19" t="s">
        <v>417</v>
      </c>
      <c r="Q49" s="31" t="s">
        <v>860</v>
      </c>
      <c r="R49" s="31" t="s">
        <v>465</v>
      </c>
      <c r="S49" s="6"/>
      <c r="T49" s="6">
        <v>2</v>
      </c>
      <c r="U49" s="43">
        <f>[45]Tabelle1!$L$3</f>
        <v>56</v>
      </c>
      <c r="V49" s="46">
        <f>[45]Tabelle1!$L$4</f>
        <v>0</v>
      </c>
      <c r="W49" s="6"/>
      <c r="X49" s="6"/>
      <c r="Y49" s="91" t="s">
        <v>692</v>
      </c>
      <c r="Z49" s="91"/>
      <c r="AA49" s="25"/>
    </row>
    <row r="50" spans="1:27" s="2" customFormat="1" ht="38.25" customHeight="1" x14ac:dyDescent="0.2">
      <c r="A50" s="38" t="s">
        <v>14</v>
      </c>
      <c r="B50" s="8" t="s">
        <v>416</v>
      </c>
      <c r="C50" s="9" t="s">
        <v>341</v>
      </c>
      <c r="D50" s="8" t="s">
        <v>195</v>
      </c>
      <c r="E50" s="8" t="s">
        <v>208</v>
      </c>
      <c r="F50" s="15" t="s">
        <v>57</v>
      </c>
      <c r="G50" s="15" t="s">
        <v>630</v>
      </c>
      <c r="H50" s="15">
        <v>301</v>
      </c>
      <c r="I50" s="6">
        <v>1</v>
      </c>
      <c r="J50" s="107">
        <v>47375</v>
      </c>
      <c r="K50" s="34" t="s">
        <v>515</v>
      </c>
      <c r="L50" s="6">
        <v>16</v>
      </c>
      <c r="M50" s="6">
        <v>6</v>
      </c>
      <c r="N50" s="6"/>
      <c r="O50" s="8" t="s">
        <v>211</v>
      </c>
      <c r="P50" s="19" t="s">
        <v>577</v>
      </c>
      <c r="Q50" s="31" t="s">
        <v>860</v>
      </c>
      <c r="R50" s="9" t="s">
        <v>474</v>
      </c>
      <c r="S50" s="6"/>
      <c r="T50" s="6">
        <v>1</v>
      </c>
      <c r="U50" s="43">
        <f>[46]Tabelle1!$L$3</f>
        <v>36</v>
      </c>
      <c r="V50" s="46">
        <f>[46]Tabelle1!$L$4</f>
        <v>0</v>
      </c>
      <c r="W50" s="6"/>
      <c r="X50" s="6"/>
      <c r="Y50" s="91"/>
      <c r="Z50" s="91" t="s">
        <v>796</v>
      </c>
      <c r="AA50" s="25"/>
    </row>
    <row r="51" spans="1:27" s="2" customFormat="1" ht="38.25" customHeight="1" x14ac:dyDescent="0.2">
      <c r="A51" s="38" t="s">
        <v>15</v>
      </c>
      <c r="B51" s="8" t="s">
        <v>76</v>
      </c>
      <c r="C51" s="9" t="s">
        <v>361</v>
      </c>
      <c r="D51" s="8" t="s">
        <v>342</v>
      </c>
      <c r="E51" s="8" t="s">
        <v>208</v>
      </c>
      <c r="F51" s="6" t="s">
        <v>57</v>
      </c>
      <c r="G51" s="17" t="s">
        <v>285</v>
      </c>
      <c r="H51" s="6">
        <v>323</v>
      </c>
      <c r="I51" s="6">
        <v>1</v>
      </c>
      <c r="J51" s="8">
        <v>29951</v>
      </c>
      <c r="K51" s="16" t="s">
        <v>201</v>
      </c>
      <c r="L51" s="6">
        <v>16</v>
      </c>
      <c r="M51" s="6">
        <v>16</v>
      </c>
      <c r="N51" s="6"/>
      <c r="O51" s="8" t="s">
        <v>211</v>
      </c>
      <c r="P51" s="6" t="s">
        <v>224</v>
      </c>
      <c r="Q51" s="31" t="s">
        <v>860</v>
      </c>
      <c r="R51" s="9" t="s">
        <v>474</v>
      </c>
      <c r="S51" s="6"/>
      <c r="T51" s="6">
        <v>1</v>
      </c>
      <c r="U51" s="43">
        <f>[47]Tabelle1!$L$3</f>
        <v>30</v>
      </c>
      <c r="V51" s="46">
        <f>[47]Tabelle1!$L$4</f>
        <v>24</v>
      </c>
      <c r="W51" s="6"/>
      <c r="X51" s="6"/>
      <c r="Y51" s="91"/>
      <c r="Z51" s="91"/>
      <c r="AA51" s="25"/>
    </row>
    <row r="52" spans="1:27" s="2" customFormat="1" ht="38.25" customHeight="1" x14ac:dyDescent="0.2">
      <c r="A52" s="38" t="s">
        <v>16</v>
      </c>
      <c r="B52" s="8" t="s">
        <v>416</v>
      </c>
      <c r="C52" s="9" t="s">
        <v>343</v>
      </c>
      <c r="D52" s="8" t="s">
        <v>195</v>
      </c>
      <c r="E52" s="8" t="s">
        <v>330</v>
      </c>
      <c r="F52" s="6" t="s">
        <v>53</v>
      </c>
      <c r="G52" s="17" t="s">
        <v>235</v>
      </c>
      <c r="H52" s="6">
        <v>203</v>
      </c>
      <c r="I52" s="6">
        <v>5</v>
      </c>
      <c r="J52" s="6">
        <v>47433</v>
      </c>
      <c r="K52" s="16" t="s">
        <v>210</v>
      </c>
      <c r="L52" s="6">
        <v>16</v>
      </c>
      <c r="M52" s="6">
        <v>11</v>
      </c>
      <c r="N52" s="54"/>
      <c r="O52" s="8" t="s">
        <v>211</v>
      </c>
      <c r="P52" s="6">
        <v>2000</v>
      </c>
      <c r="Q52" s="31" t="s">
        <v>860</v>
      </c>
      <c r="R52" s="31" t="s">
        <v>674</v>
      </c>
      <c r="S52" s="6"/>
      <c r="T52" s="6">
        <v>2</v>
      </c>
      <c r="U52" s="43">
        <f>[48]Tabelle1!$L$3</f>
        <v>55</v>
      </c>
      <c r="V52" s="46">
        <f>[48]Tabelle1!$L$4</f>
        <v>48</v>
      </c>
      <c r="W52" s="6"/>
      <c r="X52" s="6"/>
      <c r="Y52" s="6" t="s">
        <v>679</v>
      </c>
      <c r="Z52" s="91"/>
      <c r="AA52" s="86" t="s">
        <v>650</v>
      </c>
    </row>
    <row r="53" spans="1:27" s="2" customFormat="1" ht="38.25" customHeight="1" x14ac:dyDescent="0.2">
      <c r="A53" s="38" t="s">
        <v>17</v>
      </c>
      <c r="B53" s="8" t="s">
        <v>76</v>
      </c>
      <c r="C53" s="9" t="s">
        <v>344</v>
      </c>
      <c r="D53" s="8" t="s">
        <v>195</v>
      </c>
      <c r="E53" s="8" t="s">
        <v>330</v>
      </c>
      <c r="F53" s="6" t="s">
        <v>53</v>
      </c>
      <c r="G53" s="17" t="s">
        <v>236</v>
      </c>
      <c r="H53" s="6">
        <v>367</v>
      </c>
      <c r="I53" s="6">
        <v>5</v>
      </c>
      <c r="J53" s="6">
        <v>29796</v>
      </c>
      <c r="K53" s="16" t="s">
        <v>209</v>
      </c>
      <c r="L53" s="6">
        <v>16</v>
      </c>
      <c r="M53" s="6">
        <v>16</v>
      </c>
      <c r="N53" s="6"/>
      <c r="O53" s="8" t="s">
        <v>211</v>
      </c>
      <c r="P53" s="6">
        <v>2000</v>
      </c>
      <c r="Q53" s="31" t="s">
        <v>860</v>
      </c>
      <c r="R53" s="31" t="s">
        <v>471</v>
      </c>
      <c r="S53" s="6"/>
      <c r="T53" s="6">
        <v>4</v>
      </c>
      <c r="U53" s="43">
        <f>[49]Tabelle1!$L$3</f>
        <v>160</v>
      </c>
      <c r="V53" s="46">
        <f>[49]Tabelle1!$L$4</f>
        <v>64</v>
      </c>
      <c r="W53" s="6"/>
      <c r="X53" s="6"/>
      <c r="Y53" s="91"/>
      <c r="Z53" s="91"/>
      <c r="AA53" s="25"/>
    </row>
    <row r="54" spans="1:27" s="2" customFormat="1" ht="38.25" customHeight="1" x14ac:dyDescent="0.2">
      <c r="A54" s="38" t="s">
        <v>18</v>
      </c>
      <c r="B54" s="8" t="s">
        <v>76</v>
      </c>
      <c r="C54" s="9" t="s">
        <v>343</v>
      </c>
      <c r="D54" s="8">
        <v>40</v>
      </c>
      <c r="E54" s="8" t="s">
        <v>208</v>
      </c>
      <c r="F54" s="6" t="s">
        <v>53</v>
      </c>
      <c r="G54" s="17" t="s">
        <v>91</v>
      </c>
      <c r="H54" s="6">
        <v>316</v>
      </c>
      <c r="I54" s="6">
        <v>5</v>
      </c>
      <c r="J54" s="6">
        <v>33973</v>
      </c>
      <c r="K54" s="16" t="s">
        <v>210</v>
      </c>
      <c r="L54" s="6">
        <v>16</v>
      </c>
      <c r="M54" s="6">
        <v>16</v>
      </c>
      <c r="N54" s="6"/>
      <c r="O54" s="8" t="s">
        <v>211</v>
      </c>
      <c r="P54" s="6" t="s">
        <v>224</v>
      </c>
      <c r="Q54" s="31" t="s">
        <v>860</v>
      </c>
      <c r="R54" s="9" t="s">
        <v>470</v>
      </c>
      <c r="S54" s="6"/>
      <c r="T54" s="6">
        <v>4</v>
      </c>
      <c r="U54" s="43">
        <f>[50]Tabelle1!$L$3</f>
        <v>72</v>
      </c>
      <c r="V54" s="46">
        <f>[50]Tabelle1!$L$4</f>
        <v>80</v>
      </c>
      <c r="W54" s="6"/>
      <c r="X54" s="6"/>
      <c r="Y54" s="91"/>
      <c r="Z54" s="91" t="s">
        <v>770</v>
      </c>
      <c r="AA54" s="25"/>
    </row>
    <row r="55" spans="1:27" s="2" customFormat="1" ht="38.25" customHeight="1" x14ac:dyDescent="0.2">
      <c r="A55" s="38" t="s">
        <v>81</v>
      </c>
      <c r="B55" s="8" t="s">
        <v>76</v>
      </c>
      <c r="C55" s="9" t="s">
        <v>455</v>
      </c>
      <c r="D55" s="8" t="s">
        <v>345</v>
      </c>
      <c r="E55" s="8" t="s">
        <v>208</v>
      </c>
      <c r="F55" s="6" t="s">
        <v>57</v>
      </c>
      <c r="G55" s="6" t="s">
        <v>508</v>
      </c>
      <c r="H55" s="6">
        <v>277</v>
      </c>
      <c r="I55" s="6">
        <v>1</v>
      </c>
      <c r="J55" s="12">
        <v>31654</v>
      </c>
      <c r="K55" s="16" t="s">
        <v>323</v>
      </c>
      <c r="L55" s="6">
        <v>16</v>
      </c>
      <c r="M55" s="6">
        <v>0</v>
      </c>
      <c r="N55" s="8" t="s">
        <v>528</v>
      </c>
      <c r="O55" s="8" t="s">
        <v>211</v>
      </c>
      <c r="P55" s="6" t="s">
        <v>224</v>
      </c>
      <c r="Q55" s="31" t="s">
        <v>860</v>
      </c>
      <c r="R55" s="9" t="s">
        <v>474</v>
      </c>
      <c r="S55" s="6"/>
      <c r="T55" s="6">
        <v>24</v>
      </c>
      <c r="U55" s="43">
        <f>[51]Tabelle1!$L$3</f>
        <v>146</v>
      </c>
      <c r="V55" s="46">
        <f>[51]Tabelle1!$L$4</f>
        <v>0</v>
      </c>
      <c r="W55" s="6"/>
      <c r="X55" s="6"/>
      <c r="Y55" s="91"/>
      <c r="Z55" s="91"/>
      <c r="AA55" s="25"/>
    </row>
    <row r="56" spans="1:27" s="2" customFormat="1" ht="38.25" customHeight="1" x14ac:dyDescent="0.2">
      <c r="A56" s="38" t="s">
        <v>19</v>
      </c>
      <c r="B56" s="53" t="s">
        <v>416</v>
      </c>
      <c r="C56" s="9" t="s">
        <v>346</v>
      </c>
      <c r="D56" s="8" t="s">
        <v>347</v>
      </c>
      <c r="E56" s="8" t="s">
        <v>208</v>
      </c>
      <c r="F56" s="6" t="s">
        <v>3</v>
      </c>
      <c r="G56" s="6" t="s">
        <v>253</v>
      </c>
      <c r="H56" s="6">
        <v>264</v>
      </c>
      <c r="I56" s="6">
        <v>2</v>
      </c>
      <c r="J56" s="69">
        <v>46319</v>
      </c>
      <c r="K56" s="16" t="s">
        <v>515</v>
      </c>
      <c r="L56" s="19">
        <v>24</v>
      </c>
      <c r="M56" s="19">
        <v>0</v>
      </c>
      <c r="N56" s="19"/>
      <c r="O56" s="22"/>
      <c r="P56" s="19" t="s">
        <v>417</v>
      </c>
      <c r="Q56" s="31" t="s">
        <v>860</v>
      </c>
      <c r="R56" s="16"/>
      <c r="S56" s="6"/>
      <c r="T56" s="6">
        <v>2</v>
      </c>
      <c r="U56" s="43">
        <f>[52]Tabelle1!$L$3</f>
        <v>76</v>
      </c>
      <c r="V56" s="46">
        <f>[52]Tabelle1!$L$4</f>
        <v>30</v>
      </c>
      <c r="W56" s="6"/>
      <c r="X56" s="6"/>
      <c r="Y56" s="91" t="s">
        <v>683</v>
      </c>
      <c r="Z56" s="91"/>
      <c r="AA56" s="25"/>
    </row>
    <row r="57" spans="1:27" s="2" customFormat="1" ht="38.25" customHeight="1" x14ac:dyDescent="0.2">
      <c r="A57" s="39" t="s">
        <v>84</v>
      </c>
      <c r="B57" s="53" t="s">
        <v>416</v>
      </c>
      <c r="C57" s="9" t="s">
        <v>304</v>
      </c>
      <c r="D57" s="8">
        <v>20</v>
      </c>
      <c r="E57" s="8" t="s">
        <v>208</v>
      </c>
      <c r="F57" s="6" t="s">
        <v>57</v>
      </c>
      <c r="G57" s="6" t="s">
        <v>868</v>
      </c>
      <c r="H57" s="6">
        <v>30</v>
      </c>
      <c r="I57" s="6">
        <v>2</v>
      </c>
      <c r="J57" s="6">
        <v>48150</v>
      </c>
      <c r="K57" s="16" t="s">
        <v>660</v>
      </c>
      <c r="L57" s="6">
        <v>16</v>
      </c>
      <c r="M57" s="6">
        <v>10</v>
      </c>
      <c r="N57" s="6"/>
      <c r="O57" s="8" t="s">
        <v>480</v>
      </c>
      <c r="P57" s="6" t="s">
        <v>577</v>
      </c>
      <c r="Q57" s="31" t="s">
        <v>767</v>
      </c>
      <c r="R57" s="31"/>
      <c r="S57" s="6"/>
      <c r="T57" s="6"/>
      <c r="U57" s="43">
        <v>0</v>
      </c>
      <c r="V57" s="46">
        <v>60</v>
      </c>
      <c r="W57" s="6"/>
      <c r="X57" s="6"/>
      <c r="Y57" s="92" t="s">
        <v>695</v>
      </c>
      <c r="Z57" s="92"/>
      <c r="AA57" s="28" t="s">
        <v>864</v>
      </c>
    </row>
    <row r="58" spans="1:27" s="2" customFormat="1" ht="38.25" customHeight="1" x14ac:dyDescent="0.2">
      <c r="A58" s="38" t="s">
        <v>20</v>
      </c>
      <c r="B58" s="8" t="s">
        <v>76</v>
      </c>
      <c r="C58" s="9" t="s">
        <v>316</v>
      </c>
      <c r="D58" s="8" t="s">
        <v>195</v>
      </c>
      <c r="E58" s="8" t="s">
        <v>208</v>
      </c>
      <c r="F58" s="6" t="s">
        <v>57</v>
      </c>
      <c r="G58" s="6" t="s">
        <v>54</v>
      </c>
      <c r="H58" s="6">
        <v>334</v>
      </c>
      <c r="I58" s="6">
        <v>1</v>
      </c>
      <c r="J58" s="12">
        <v>36139</v>
      </c>
      <c r="K58" s="34" t="s">
        <v>210</v>
      </c>
      <c r="L58" s="6">
        <v>32</v>
      </c>
      <c r="M58" s="6">
        <v>23</v>
      </c>
      <c r="N58" s="6"/>
      <c r="O58" s="8" t="s">
        <v>211</v>
      </c>
      <c r="P58" s="6" t="s">
        <v>224</v>
      </c>
      <c r="Q58" s="31" t="s">
        <v>860</v>
      </c>
      <c r="R58" s="9" t="s">
        <v>485</v>
      </c>
      <c r="S58" s="6"/>
      <c r="T58" s="6">
        <v>3</v>
      </c>
      <c r="U58" s="43">
        <f>[53]Tabelle1!$L$3</f>
        <v>105</v>
      </c>
      <c r="V58" s="46">
        <f>[53]Tabelle1!$L$4</f>
        <v>9</v>
      </c>
      <c r="W58" s="6"/>
      <c r="X58" s="6"/>
      <c r="Y58" s="91" t="s">
        <v>651</v>
      </c>
      <c r="Z58" s="91"/>
      <c r="AA58" s="25"/>
    </row>
    <row r="59" spans="1:27" s="26" customFormat="1" ht="38.25" customHeight="1" x14ac:dyDescent="0.2">
      <c r="A59" s="38" t="s">
        <v>21</v>
      </c>
      <c r="B59" s="8">
        <v>2000</v>
      </c>
      <c r="C59" s="9" t="s">
        <v>312</v>
      </c>
      <c r="D59" s="8" t="s">
        <v>195</v>
      </c>
      <c r="E59" s="8" t="s">
        <v>208</v>
      </c>
      <c r="F59" s="6" t="s">
        <v>57</v>
      </c>
      <c r="G59" s="6" t="s">
        <v>280</v>
      </c>
      <c r="H59" s="6">
        <v>302</v>
      </c>
      <c r="I59" s="6">
        <v>1</v>
      </c>
      <c r="J59" s="7">
        <v>25900</v>
      </c>
      <c r="K59" s="16" t="s">
        <v>201</v>
      </c>
      <c r="L59" s="6">
        <v>16</v>
      </c>
      <c r="M59" s="6">
        <v>7</v>
      </c>
      <c r="N59" s="6"/>
      <c r="O59" s="8" t="s">
        <v>211</v>
      </c>
      <c r="P59" s="6">
        <v>2000</v>
      </c>
      <c r="Q59" s="31" t="s">
        <v>860</v>
      </c>
      <c r="R59" s="31" t="s">
        <v>465</v>
      </c>
      <c r="S59" s="6"/>
      <c r="T59" s="6">
        <v>1</v>
      </c>
      <c r="U59" s="43">
        <f>[54]Tabelle1!$L$3</f>
        <v>21</v>
      </c>
      <c r="V59" s="46">
        <f>[54]Tabelle1!$L$4</f>
        <v>0</v>
      </c>
      <c r="W59" s="6"/>
      <c r="X59" s="6"/>
      <c r="Y59" s="91"/>
      <c r="Z59" s="91"/>
      <c r="AA59" s="28" t="s">
        <v>517</v>
      </c>
    </row>
    <row r="60" spans="1:27" s="26" customFormat="1" ht="38.25" customHeight="1" x14ac:dyDescent="0.2">
      <c r="A60" s="38" t="s">
        <v>22</v>
      </c>
      <c r="B60" s="78" t="s">
        <v>416</v>
      </c>
      <c r="C60" s="9" t="s">
        <v>348</v>
      </c>
      <c r="D60" s="8" t="s">
        <v>655</v>
      </c>
      <c r="E60" s="8" t="s">
        <v>330</v>
      </c>
      <c r="F60" s="6" t="s">
        <v>53</v>
      </c>
      <c r="G60" s="6" t="s">
        <v>508</v>
      </c>
      <c r="H60" s="6">
        <v>320</v>
      </c>
      <c r="I60" s="6">
        <v>5</v>
      </c>
      <c r="J60" s="6">
        <v>46317</v>
      </c>
      <c r="K60" s="34" t="s">
        <v>210</v>
      </c>
      <c r="L60" s="19">
        <v>16</v>
      </c>
      <c r="M60" s="19">
        <v>15</v>
      </c>
      <c r="N60" s="19" t="s">
        <v>213</v>
      </c>
      <c r="O60" s="8" t="s">
        <v>211</v>
      </c>
      <c r="P60" s="6" t="s">
        <v>224</v>
      </c>
      <c r="Q60" s="31" t="s">
        <v>860</v>
      </c>
      <c r="R60" s="9" t="s">
        <v>471</v>
      </c>
      <c r="S60" s="6"/>
      <c r="T60" s="6">
        <v>5</v>
      </c>
      <c r="U60" s="43">
        <f>[55]Tabelle1!$L$3</f>
        <v>207</v>
      </c>
      <c r="V60" s="46">
        <f>[55]Tabelle1!$L$4</f>
        <v>0</v>
      </c>
      <c r="W60" s="6"/>
      <c r="X60" s="6"/>
      <c r="Y60" s="91" t="s">
        <v>683</v>
      </c>
      <c r="Z60" s="91"/>
      <c r="AA60" s="60" t="s">
        <v>657</v>
      </c>
    </row>
    <row r="61" spans="1:27" s="2" customFormat="1" ht="38.25" customHeight="1" x14ac:dyDescent="0.2">
      <c r="A61" s="38" t="s">
        <v>23</v>
      </c>
      <c r="B61" s="53" t="s">
        <v>416</v>
      </c>
      <c r="C61" s="9" t="s">
        <v>299</v>
      </c>
      <c r="D61" s="8" t="s">
        <v>349</v>
      </c>
      <c r="E61" s="8" t="s">
        <v>208</v>
      </c>
      <c r="F61" s="6" t="s">
        <v>3</v>
      </c>
      <c r="G61" s="6" t="s">
        <v>270</v>
      </c>
      <c r="H61" s="6">
        <v>330</v>
      </c>
      <c r="I61" s="6">
        <v>1</v>
      </c>
      <c r="J61" s="67">
        <v>46214</v>
      </c>
      <c r="K61" s="16" t="s">
        <v>484</v>
      </c>
      <c r="L61" s="6">
        <v>16</v>
      </c>
      <c r="M61" s="6">
        <v>8</v>
      </c>
      <c r="N61" s="6" t="s">
        <v>213</v>
      </c>
      <c r="O61" s="8" t="s">
        <v>211</v>
      </c>
      <c r="P61" s="6" t="s">
        <v>224</v>
      </c>
      <c r="Q61" s="31" t="s">
        <v>860</v>
      </c>
      <c r="R61" s="31" t="s">
        <v>471</v>
      </c>
      <c r="S61" s="6"/>
      <c r="T61" s="6">
        <v>3</v>
      </c>
      <c r="U61" s="43">
        <f>[56]Tabelle1!$L$3</f>
        <v>25</v>
      </c>
      <c r="V61" s="46">
        <f>[56]Tabelle1!$L$4</f>
        <v>10</v>
      </c>
      <c r="W61" s="6"/>
      <c r="X61" s="6"/>
      <c r="Y61" s="91"/>
      <c r="Z61" s="91" t="s">
        <v>652</v>
      </c>
      <c r="AA61" s="25"/>
    </row>
    <row r="62" spans="1:27" s="26" customFormat="1" ht="38.25" customHeight="1" x14ac:dyDescent="0.2">
      <c r="A62" s="38" t="s">
        <v>24</v>
      </c>
      <c r="B62" s="8" t="s">
        <v>76</v>
      </c>
      <c r="C62" s="9" t="s">
        <v>362</v>
      </c>
      <c r="D62" s="8">
        <v>20</v>
      </c>
      <c r="E62" s="8" t="s">
        <v>330</v>
      </c>
      <c r="F62" s="6" t="s">
        <v>53</v>
      </c>
      <c r="G62" s="6" t="s">
        <v>234</v>
      </c>
      <c r="H62" s="6">
        <v>317</v>
      </c>
      <c r="I62" s="6">
        <v>5</v>
      </c>
      <c r="J62" s="12">
        <v>30460</v>
      </c>
      <c r="K62" s="16" t="s">
        <v>210</v>
      </c>
      <c r="L62" s="6">
        <v>16</v>
      </c>
      <c r="M62" s="6">
        <v>8</v>
      </c>
      <c r="N62" s="6"/>
      <c r="O62" s="8" t="s">
        <v>211</v>
      </c>
      <c r="P62" s="6">
        <v>2000</v>
      </c>
      <c r="Q62" s="31" t="s">
        <v>860</v>
      </c>
      <c r="R62" s="9" t="s">
        <v>465</v>
      </c>
      <c r="S62" s="6"/>
      <c r="T62" s="6">
        <v>4</v>
      </c>
      <c r="U62" s="43">
        <f>[57]Tabelle1!$L$3</f>
        <v>0</v>
      </c>
      <c r="V62" s="46">
        <f>[57]Tabelle1!$L$4</f>
        <v>55</v>
      </c>
      <c r="W62" s="6"/>
      <c r="X62" s="6"/>
      <c r="Y62" s="91"/>
      <c r="Z62" s="91"/>
      <c r="AA62" s="25"/>
    </row>
    <row r="63" spans="1:27" s="26" customFormat="1" ht="38.25" customHeight="1" x14ac:dyDescent="0.2">
      <c r="A63" s="38" t="s">
        <v>25</v>
      </c>
      <c r="B63" s="53" t="s">
        <v>416</v>
      </c>
      <c r="C63" s="9" t="s">
        <v>350</v>
      </c>
      <c r="D63" s="8">
        <v>140</v>
      </c>
      <c r="E63" s="8" t="s">
        <v>208</v>
      </c>
      <c r="F63" s="15" t="s">
        <v>3</v>
      </c>
      <c r="G63" s="15" t="s">
        <v>248</v>
      </c>
      <c r="H63" s="6">
        <v>336</v>
      </c>
      <c r="I63" s="6">
        <v>1</v>
      </c>
      <c r="J63" s="8">
        <v>42095</v>
      </c>
      <c r="K63" s="16" t="s">
        <v>484</v>
      </c>
      <c r="L63" s="6">
        <v>16</v>
      </c>
      <c r="M63" s="6">
        <v>15</v>
      </c>
      <c r="N63" s="6"/>
      <c r="O63" s="8" t="s">
        <v>211</v>
      </c>
      <c r="P63" s="6" t="s">
        <v>224</v>
      </c>
      <c r="Q63" s="31" t="s">
        <v>860</v>
      </c>
      <c r="R63" s="31" t="s">
        <v>435</v>
      </c>
      <c r="S63" s="6"/>
      <c r="T63" s="6">
        <v>3</v>
      </c>
      <c r="U63" s="43">
        <f>[58]Tabelle1!$L$3</f>
        <v>588</v>
      </c>
      <c r="V63" s="46">
        <f>[58]Tabelle1!$L$4</f>
        <v>182</v>
      </c>
      <c r="W63" s="6"/>
      <c r="X63" s="6"/>
      <c r="Y63" s="91"/>
      <c r="Z63" s="91" t="s">
        <v>627</v>
      </c>
      <c r="AA63" s="25"/>
    </row>
    <row r="64" spans="1:27" s="26" customFormat="1" ht="38.25" customHeight="1" x14ac:dyDescent="0.2">
      <c r="A64" s="39" t="s">
        <v>26</v>
      </c>
      <c r="B64" s="53" t="s">
        <v>416</v>
      </c>
      <c r="C64" s="9" t="s">
        <v>478</v>
      </c>
      <c r="D64" s="8">
        <v>140</v>
      </c>
      <c r="E64" s="8" t="s">
        <v>208</v>
      </c>
      <c r="F64" s="6" t="s">
        <v>3</v>
      </c>
      <c r="G64" s="6" t="s">
        <v>55</v>
      </c>
      <c r="H64" s="6">
        <v>335</v>
      </c>
      <c r="I64" s="6">
        <v>1</v>
      </c>
      <c r="J64" s="11">
        <v>41903</v>
      </c>
      <c r="K64" s="16" t="s">
        <v>515</v>
      </c>
      <c r="L64" s="6">
        <v>16</v>
      </c>
      <c r="M64" s="6">
        <v>14</v>
      </c>
      <c r="N64" s="6"/>
      <c r="O64" s="8" t="s">
        <v>211</v>
      </c>
      <c r="P64" s="6" t="s">
        <v>417</v>
      </c>
      <c r="Q64" s="31" t="s">
        <v>860</v>
      </c>
      <c r="R64" s="9"/>
      <c r="S64" s="6"/>
      <c r="T64" s="6"/>
      <c r="U64" s="43">
        <f>[59]Tabelle1!$L$3</f>
        <v>552</v>
      </c>
      <c r="V64" s="46">
        <f>[59]Tabelle1!$L$4</f>
        <v>156</v>
      </c>
      <c r="W64" s="6"/>
      <c r="X64" s="6"/>
      <c r="Y64" s="91"/>
      <c r="Z64" s="91" t="s">
        <v>618</v>
      </c>
      <c r="AA64" s="57"/>
    </row>
    <row r="65" spans="1:27" s="26" customFormat="1" ht="38.25" customHeight="1" x14ac:dyDescent="0.2">
      <c r="A65" s="38" t="s">
        <v>27</v>
      </c>
      <c r="B65" s="53" t="s">
        <v>416</v>
      </c>
      <c r="C65" s="9" t="s">
        <v>351</v>
      </c>
      <c r="D65" s="8">
        <v>10</v>
      </c>
      <c r="E65" s="8" t="s">
        <v>208</v>
      </c>
      <c r="F65" s="6" t="s">
        <v>53</v>
      </c>
      <c r="G65" s="6" t="s">
        <v>60</v>
      </c>
      <c r="H65" s="6">
        <v>255</v>
      </c>
      <c r="I65" s="6">
        <v>5</v>
      </c>
      <c r="J65" s="66">
        <v>41898</v>
      </c>
      <c r="K65" s="16" t="s">
        <v>515</v>
      </c>
      <c r="L65" s="6">
        <v>8</v>
      </c>
      <c r="M65" s="6">
        <v>7</v>
      </c>
      <c r="N65" s="6"/>
      <c r="O65" s="8" t="s">
        <v>211</v>
      </c>
      <c r="P65" s="6" t="s">
        <v>417</v>
      </c>
      <c r="Q65" s="31" t="s">
        <v>860</v>
      </c>
      <c r="R65" s="31" t="s">
        <v>470</v>
      </c>
      <c r="S65" s="6"/>
      <c r="T65" s="6">
        <v>2</v>
      </c>
      <c r="U65" s="43">
        <f>[60]Tabelle1!$L$3</f>
        <v>38</v>
      </c>
      <c r="V65" s="46">
        <f>[60]Tabelle1!$L$4</f>
        <v>18</v>
      </c>
      <c r="W65" s="6"/>
      <c r="X65" s="6"/>
      <c r="Y65" s="91"/>
      <c r="Z65" s="91" t="s">
        <v>608</v>
      </c>
      <c r="AA65" s="25"/>
    </row>
    <row r="66" spans="1:27" s="26" customFormat="1" ht="38.25" customHeight="1" x14ac:dyDescent="0.2">
      <c r="A66" s="38" t="s">
        <v>28</v>
      </c>
      <c r="B66" s="53" t="s">
        <v>416</v>
      </c>
      <c r="C66" s="9" t="s">
        <v>513</v>
      </c>
      <c r="D66" s="8" t="s">
        <v>352</v>
      </c>
      <c r="E66" s="8" t="s">
        <v>208</v>
      </c>
      <c r="F66" s="15" t="s">
        <v>57</v>
      </c>
      <c r="G66" s="15" t="s">
        <v>512</v>
      </c>
      <c r="H66" s="15">
        <v>268</v>
      </c>
      <c r="I66" s="6">
        <v>1</v>
      </c>
      <c r="J66" s="72">
        <v>47378</v>
      </c>
      <c r="K66" s="16" t="s">
        <v>515</v>
      </c>
      <c r="L66" s="6">
        <v>16</v>
      </c>
      <c r="M66" s="6">
        <v>4</v>
      </c>
      <c r="N66" s="6"/>
      <c r="O66" s="8" t="s">
        <v>211</v>
      </c>
      <c r="P66" s="6" t="s">
        <v>636</v>
      </c>
      <c r="Q66" s="31" t="s">
        <v>860</v>
      </c>
      <c r="R66" s="31" t="s">
        <v>465</v>
      </c>
      <c r="S66" s="6"/>
      <c r="T66" s="6">
        <v>14</v>
      </c>
      <c r="U66" s="43">
        <f>[61]Tabelle1!$L$3</f>
        <v>71</v>
      </c>
      <c r="V66" s="46">
        <f>[61]Tabelle1!$L$4</f>
        <v>71</v>
      </c>
      <c r="W66" s="6"/>
      <c r="X66" s="6"/>
      <c r="Y66" s="91"/>
      <c r="Z66" s="91" t="s">
        <v>633</v>
      </c>
      <c r="AA66" s="88" t="s">
        <v>745</v>
      </c>
    </row>
    <row r="67" spans="1:27" s="26" customFormat="1" ht="38.25" customHeight="1" x14ac:dyDescent="0.2">
      <c r="A67" s="38" t="s">
        <v>29</v>
      </c>
      <c r="B67" s="8" t="s">
        <v>76</v>
      </c>
      <c r="C67" s="9" t="s">
        <v>514</v>
      </c>
      <c r="D67" s="8">
        <v>100</v>
      </c>
      <c r="E67" s="8" t="s">
        <v>208</v>
      </c>
      <c r="F67" s="15" t="s">
        <v>57</v>
      </c>
      <c r="G67" s="15" t="s">
        <v>512</v>
      </c>
      <c r="H67" s="15">
        <v>267</v>
      </c>
      <c r="I67" s="6">
        <v>1</v>
      </c>
      <c r="J67" s="94">
        <v>28580</v>
      </c>
      <c r="K67" s="34" t="s">
        <v>201</v>
      </c>
      <c r="L67" s="6">
        <v>16</v>
      </c>
      <c r="M67" s="6">
        <v>6</v>
      </c>
      <c r="N67" s="6"/>
      <c r="O67" s="8" t="s">
        <v>211</v>
      </c>
      <c r="P67" s="6" t="s">
        <v>224</v>
      </c>
      <c r="Q67" s="31" t="s">
        <v>860</v>
      </c>
      <c r="R67" s="9" t="s">
        <v>465</v>
      </c>
      <c r="S67" s="6"/>
      <c r="T67" s="6">
        <v>12</v>
      </c>
      <c r="U67" s="43">
        <f>[62]Tabelle1!$L$3</f>
        <v>36</v>
      </c>
      <c r="V67" s="46">
        <f>[62]Tabelle1!$L$4</f>
        <v>36</v>
      </c>
      <c r="W67" s="6"/>
      <c r="X67" s="6"/>
      <c r="Y67" s="91"/>
      <c r="Z67" s="91"/>
      <c r="AA67" s="57"/>
    </row>
    <row r="68" spans="1:27" s="2" customFormat="1" ht="38.25" customHeight="1" x14ac:dyDescent="0.2">
      <c r="A68" s="38" t="s">
        <v>30</v>
      </c>
      <c r="B68" s="8" t="s">
        <v>76</v>
      </c>
      <c r="C68" s="9" t="s">
        <v>366</v>
      </c>
      <c r="D68" s="8" t="s">
        <v>353</v>
      </c>
      <c r="E68" s="8" t="s">
        <v>208</v>
      </c>
      <c r="F68" s="6" t="s">
        <v>53</v>
      </c>
      <c r="G68" s="6" t="s">
        <v>231</v>
      </c>
      <c r="H68" s="6">
        <v>256</v>
      </c>
      <c r="I68" s="6">
        <v>5</v>
      </c>
      <c r="J68" s="77">
        <v>28581</v>
      </c>
      <c r="K68" s="34" t="s">
        <v>201</v>
      </c>
      <c r="L68" s="19">
        <v>16</v>
      </c>
      <c r="M68" s="19">
        <v>8</v>
      </c>
      <c r="N68" s="19"/>
      <c r="O68" s="22"/>
      <c r="P68" s="19" t="s">
        <v>224</v>
      </c>
      <c r="Q68" s="31" t="s">
        <v>860</v>
      </c>
      <c r="R68" s="9" t="s">
        <v>471</v>
      </c>
      <c r="S68" s="6"/>
      <c r="T68" s="6">
        <v>1</v>
      </c>
      <c r="U68" s="43">
        <f>[63]Tabelle1!$L$3</f>
        <v>42</v>
      </c>
      <c r="V68" s="46">
        <f>[63]Tabelle1!$L$4</f>
        <v>6</v>
      </c>
      <c r="W68" s="6"/>
      <c r="X68" s="6"/>
      <c r="Y68" s="91"/>
      <c r="Z68" s="91"/>
      <c r="AA68" s="25"/>
    </row>
    <row r="69" spans="1:27" s="2" customFormat="1" ht="38.25" customHeight="1" x14ac:dyDescent="0.2">
      <c r="A69" s="38" t="s">
        <v>31</v>
      </c>
      <c r="B69" s="8" t="s">
        <v>76</v>
      </c>
      <c r="C69" s="9" t="s">
        <v>335</v>
      </c>
      <c r="D69" s="8">
        <v>140</v>
      </c>
      <c r="E69" s="8" t="s">
        <v>208</v>
      </c>
      <c r="F69" s="15" t="s">
        <v>3</v>
      </c>
      <c r="G69" s="15" t="s">
        <v>646</v>
      </c>
      <c r="H69" s="6">
        <v>312</v>
      </c>
      <c r="I69" s="6">
        <v>2</v>
      </c>
      <c r="J69" s="6">
        <v>30111</v>
      </c>
      <c r="K69" s="58" t="s">
        <v>443</v>
      </c>
      <c r="L69" s="6">
        <v>16</v>
      </c>
      <c r="M69" s="6">
        <v>11</v>
      </c>
      <c r="N69" s="6"/>
      <c r="O69" s="8" t="s">
        <v>211</v>
      </c>
      <c r="P69" s="6" t="s">
        <v>224</v>
      </c>
      <c r="Q69" s="31" t="s">
        <v>860</v>
      </c>
      <c r="R69" s="9" t="s">
        <v>436</v>
      </c>
      <c r="S69" s="6"/>
      <c r="T69" s="6">
        <v>5</v>
      </c>
      <c r="U69" s="43">
        <f>[64]Tabelle1!$L$3</f>
        <v>24</v>
      </c>
      <c r="V69" s="46">
        <f>[64]Tabelle1!$L$4</f>
        <v>18</v>
      </c>
      <c r="W69" s="6"/>
      <c r="X69" s="6"/>
      <c r="Y69" s="91"/>
      <c r="Z69" s="91"/>
      <c r="AA69" s="25"/>
    </row>
    <row r="70" spans="1:27" s="2" customFormat="1" ht="38.25" customHeight="1" x14ac:dyDescent="0.2">
      <c r="A70" s="38" t="s">
        <v>32</v>
      </c>
      <c r="B70" s="53" t="s">
        <v>416</v>
      </c>
      <c r="C70" s="9" t="s">
        <v>354</v>
      </c>
      <c r="D70" s="8" t="s">
        <v>195</v>
      </c>
      <c r="E70" s="8" t="s">
        <v>208</v>
      </c>
      <c r="F70" s="6" t="s">
        <v>53</v>
      </c>
      <c r="G70" s="6" t="s">
        <v>231</v>
      </c>
      <c r="H70" s="6">
        <v>257</v>
      </c>
      <c r="I70" s="6">
        <v>5</v>
      </c>
      <c r="J70" s="66">
        <v>44312</v>
      </c>
      <c r="K70" s="16" t="s">
        <v>515</v>
      </c>
      <c r="L70" s="6">
        <v>8</v>
      </c>
      <c r="M70" s="6">
        <v>8</v>
      </c>
      <c r="N70" s="6"/>
      <c r="O70" s="8" t="s">
        <v>211</v>
      </c>
      <c r="P70" s="6" t="s">
        <v>417</v>
      </c>
      <c r="Q70" s="31" t="s">
        <v>860</v>
      </c>
      <c r="R70" s="31" t="s">
        <v>454</v>
      </c>
      <c r="S70" s="6"/>
      <c r="T70" s="6">
        <v>2</v>
      </c>
      <c r="U70" s="43">
        <f>[65]Tabelle1!$L$3</f>
        <v>18</v>
      </c>
      <c r="V70" s="46">
        <f>[65]Tabelle1!$L$4</f>
        <v>6</v>
      </c>
      <c r="W70" s="6"/>
      <c r="X70" s="6"/>
      <c r="Y70" s="91"/>
      <c r="Z70" s="91"/>
      <c r="AA70" s="25"/>
    </row>
    <row r="71" spans="1:27" s="2" customFormat="1" ht="38.25" customHeight="1" x14ac:dyDescent="0.2">
      <c r="A71" s="38" t="s">
        <v>33</v>
      </c>
      <c r="B71" s="53" t="s">
        <v>416</v>
      </c>
      <c r="C71" s="9" t="s">
        <v>356</v>
      </c>
      <c r="D71" s="8" t="s">
        <v>355</v>
      </c>
      <c r="E71" s="8" t="s">
        <v>208</v>
      </c>
      <c r="F71" s="15" t="s">
        <v>3</v>
      </c>
      <c r="G71" s="15" t="s">
        <v>249</v>
      </c>
      <c r="H71" s="6">
        <v>326</v>
      </c>
      <c r="I71" s="6">
        <v>1</v>
      </c>
      <c r="J71" s="73">
        <v>46316</v>
      </c>
      <c r="K71" s="16" t="s">
        <v>515</v>
      </c>
      <c r="L71" s="6">
        <v>16</v>
      </c>
      <c r="M71" s="6">
        <v>14</v>
      </c>
      <c r="N71" s="6"/>
      <c r="O71" s="8" t="s">
        <v>211</v>
      </c>
      <c r="P71" s="6" t="s">
        <v>417</v>
      </c>
      <c r="Q71" s="31" t="s">
        <v>860</v>
      </c>
      <c r="R71" s="31" t="s">
        <v>435</v>
      </c>
      <c r="S71" s="6"/>
      <c r="T71" s="6">
        <v>3</v>
      </c>
      <c r="U71" s="43">
        <f>[66]Tabelle1!$L$3</f>
        <v>314</v>
      </c>
      <c r="V71" s="80">
        <f>[66]Tabelle1!$L$4</f>
        <v>135</v>
      </c>
      <c r="W71" s="6"/>
      <c r="X71" s="6"/>
      <c r="Y71" s="91" t="s">
        <v>683</v>
      </c>
      <c r="Z71" s="91" t="s">
        <v>626</v>
      </c>
      <c r="AA71" s="25"/>
    </row>
    <row r="72" spans="1:27" s="2" customFormat="1" ht="38.25" customHeight="1" x14ac:dyDescent="0.2">
      <c r="A72" s="39" t="s">
        <v>34</v>
      </c>
      <c r="B72" s="22">
        <v>2000</v>
      </c>
      <c r="C72" s="27" t="s">
        <v>341</v>
      </c>
      <c r="D72" s="8" t="s">
        <v>349</v>
      </c>
      <c r="E72" s="8" t="s">
        <v>208</v>
      </c>
      <c r="F72" s="15" t="s">
        <v>3</v>
      </c>
      <c r="G72" s="15" t="s">
        <v>270</v>
      </c>
      <c r="H72" s="6">
        <v>333</v>
      </c>
      <c r="I72" s="6">
        <v>1</v>
      </c>
      <c r="J72" s="6">
        <v>26037</v>
      </c>
      <c r="K72" s="16" t="s">
        <v>209</v>
      </c>
      <c r="L72" s="6">
        <v>16</v>
      </c>
      <c r="M72" s="6">
        <v>8</v>
      </c>
      <c r="N72" s="6"/>
      <c r="O72" s="8" t="s">
        <v>211</v>
      </c>
      <c r="P72" s="6">
        <v>2000</v>
      </c>
      <c r="Q72" s="31" t="s">
        <v>860</v>
      </c>
      <c r="R72" s="31" t="s">
        <v>465</v>
      </c>
      <c r="S72" s="19"/>
      <c r="T72" s="19">
        <v>1</v>
      </c>
      <c r="U72" s="44">
        <f>[67]Tabelle1!$L$3</f>
        <v>52</v>
      </c>
      <c r="V72" s="47">
        <f>[67]Tabelle1!$L$4</f>
        <v>39</v>
      </c>
      <c r="W72" s="19"/>
      <c r="X72" s="19"/>
      <c r="Y72" s="92"/>
      <c r="Z72" s="92"/>
      <c r="AA72" s="28"/>
    </row>
    <row r="73" spans="1:27" s="2" customFormat="1" ht="38.25" customHeight="1" x14ac:dyDescent="0.2">
      <c r="A73" s="38" t="s">
        <v>35</v>
      </c>
      <c r="B73" s="53" t="s">
        <v>416</v>
      </c>
      <c r="C73" s="9" t="s">
        <v>314</v>
      </c>
      <c r="D73" s="8">
        <v>140</v>
      </c>
      <c r="E73" s="8" t="s">
        <v>208</v>
      </c>
      <c r="F73" s="15" t="s">
        <v>3</v>
      </c>
      <c r="G73" s="15" t="s">
        <v>250</v>
      </c>
      <c r="H73" s="6">
        <v>329</v>
      </c>
      <c r="I73" s="6">
        <v>1</v>
      </c>
      <c r="J73" s="7">
        <v>46856</v>
      </c>
      <c r="K73" s="16" t="s">
        <v>209</v>
      </c>
      <c r="L73" s="6">
        <v>16</v>
      </c>
      <c r="M73" s="6">
        <v>13</v>
      </c>
      <c r="N73" s="6"/>
      <c r="O73" s="8" t="s">
        <v>211</v>
      </c>
      <c r="P73" s="6" t="s">
        <v>417</v>
      </c>
      <c r="Q73" s="31" t="s">
        <v>860</v>
      </c>
      <c r="R73" s="31" t="s">
        <v>464</v>
      </c>
      <c r="S73" s="6"/>
      <c r="T73" s="6">
        <v>2</v>
      </c>
      <c r="U73" s="43">
        <f>[68]Tabelle1!$L$3</f>
        <v>297</v>
      </c>
      <c r="V73" s="80">
        <f>[68]Tabelle1!$L$4</f>
        <v>55</v>
      </c>
      <c r="W73" s="6"/>
      <c r="X73" s="6"/>
      <c r="Y73" s="91" t="s">
        <v>690</v>
      </c>
      <c r="Z73" s="91"/>
      <c r="AA73" s="65"/>
    </row>
    <row r="74" spans="1:27" s="2" customFormat="1" ht="38.25" customHeight="1" x14ac:dyDescent="0.2">
      <c r="A74" s="38" t="s">
        <v>36</v>
      </c>
      <c r="B74" s="53" t="s">
        <v>416</v>
      </c>
      <c r="C74" s="9" t="s">
        <v>479</v>
      </c>
      <c r="D74" s="22">
        <v>140</v>
      </c>
      <c r="E74" s="22" t="s">
        <v>208</v>
      </c>
      <c r="F74" s="33" t="s">
        <v>3</v>
      </c>
      <c r="G74" s="33" t="s">
        <v>482</v>
      </c>
      <c r="H74" s="19">
        <v>328</v>
      </c>
      <c r="I74" s="19">
        <v>1</v>
      </c>
      <c r="J74" s="73">
        <v>46315</v>
      </c>
      <c r="K74" s="34" t="s">
        <v>477</v>
      </c>
      <c r="L74" s="19">
        <v>16</v>
      </c>
      <c r="M74" s="19">
        <v>13</v>
      </c>
      <c r="N74" s="19"/>
      <c r="O74" s="22" t="s">
        <v>480</v>
      </c>
      <c r="P74" s="19" t="s">
        <v>417</v>
      </c>
      <c r="Q74" s="31" t="s">
        <v>860</v>
      </c>
      <c r="R74" s="31" t="s">
        <v>481</v>
      </c>
      <c r="S74" s="19"/>
      <c r="T74" s="19">
        <v>4</v>
      </c>
      <c r="U74" s="43">
        <f>[69]Tabelle1!$L$3</f>
        <v>451</v>
      </c>
      <c r="V74" s="46">
        <f>[69]Tabelle1!$L$4</f>
        <v>154</v>
      </c>
      <c r="W74" s="6"/>
      <c r="X74" s="6"/>
      <c r="Y74" s="91" t="s">
        <v>683</v>
      </c>
      <c r="Z74" s="91" t="s">
        <v>610</v>
      </c>
      <c r="AA74" s="25"/>
    </row>
    <row r="75" spans="1:27" s="2" customFormat="1" ht="38.25" customHeight="1" x14ac:dyDescent="0.2">
      <c r="A75" s="38" t="s">
        <v>37</v>
      </c>
      <c r="B75" s="8" t="s">
        <v>76</v>
      </c>
      <c r="C75" s="9" t="s">
        <v>312</v>
      </c>
      <c r="D75" s="8" t="s">
        <v>349</v>
      </c>
      <c r="E75" s="8" t="s">
        <v>330</v>
      </c>
      <c r="F75" s="15" t="s">
        <v>3</v>
      </c>
      <c r="G75" s="15" t="s">
        <v>284</v>
      </c>
      <c r="H75" s="6">
        <v>332</v>
      </c>
      <c r="I75" s="6">
        <v>1</v>
      </c>
      <c r="J75" s="97">
        <v>29283</v>
      </c>
      <c r="K75" s="34" t="s">
        <v>201</v>
      </c>
      <c r="L75" s="6">
        <v>16</v>
      </c>
      <c r="M75" s="6">
        <v>8</v>
      </c>
      <c r="N75" s="6"/>
      <c r="O75" s="8" t="s">
        <v>211</v>
      </c>
      <c r="P75" s="6" t="s">
        <v>224</v>
      </c>
      <c r="Q75" s="31" t="s">
        <v>860</v>
      </c>
      <c r="R75" s="9" t="s">
        <v>471</v>
      </c>
      <c r="S75" s="6"/>
      <c r="T75" s="6">
        <v>1</v>
      </c>
      <c r="U75" s="43">
        <f>[70]Tabelle1!$L$3</f>
        <v>16</v>
      </c>
      <c r="V75" s="46">
        <f>[70]Tabelle1!$L$4</f>
        <v>12</v>
      </c>
      <c r="W75" s="6"/>
      <c r="X75" s="6"/>
      <c r="Y75" s="91"/>
      <c r="Z75" s="91"/>
      <c r="AA75" s="25"/>
    </row>
    <row r="76" spans="1:27" s="2" customFormat="1" ht="38.25" customHeight="1" x14ac:dyDescent="0.2">
      <c r="A76" s="38" t="s">
        <v>38</v>
      </c>
      <c r="B76" s="8" t="s">
        <v>76</v>
      </c>
      <c r="C76" s="9" t="s">
        <v>362</v>
      </c>
      <c r="D76" s="8">
        <v>160</v>
      </c>
      <c r="E76" s="8" t="s">
        <v>330</v>
      </c>
      <c r="F76" s="6" t="s">
        <v>53</v>
      </c>
      <c r="G76" s="6" t="s">
        <v>239</v>
      </c>
      <c r="H76" s="6">
        <v>321</v>
      </c>
      <c r="I76" s="6">
        <v>5</v>
      </c>
      <c r="J76" s="7">
        <v>30979</v>
      </c>
      <c r="K76" s="16" t="s">
        <v>209</v>
      </c>
      <c r="L76" s="6">
        <v>16</v>
      </c>
      <c r="M76" s="6">
        <v>5</v>
      </c>
      <c r="N76" s="54"/>
      <c r="O76" s="8" t="s">
        <v>291</v>
      </c>
      <c r="P76" s="6">
        <v>2000</v>
      </c>
      <c r="Q76" s="31" t="s">
        <v>860</v>
      </c>
      <c r="R76" s="31" t="s">
        <v>471</v>
      </c>
      <c r="S76" s="6"/>
      <c r="T76" s="6">
        <v>2</v>
      </c>
      <c r="U76" s="43">
        <f>[71]Tabelle1!$L$3</f>
        <v>24</v>
      </c>
      <c r="V76" s="46">
        <f>[71]Tabelle1!$L$4</f>
        <v>0</v>
      </c>
      <c r="W76" s="6"/>
      <c r="X76" s="6"/>
      <c r="Y76" s="91"/>
      <c r="Z76" s="91" t="s">
        <v>586</v>
      </c>
      <c r="AA76" s="25"/>
    </row>
    <row r="77" spans="1:27" s="2" customFormat="1" ht="38.25" customHeight="1" x14ac:dyDescent="0.2">
      <c r="A77" s="38" t="s">
        <v>39</v>
      </c>
      <c r="B77" s="53" t="s">
        <v>416</v>
      </c>
      <c r="C77" s="9" t="s">
        <v>310</v>
      </c>
      <c r="D77" s="8" t="s">
        <v>347</v>
      </c>
      <c r="E77" s="8" t="s">
        <v>208</v>
      </c>
      <c r="F77" s="6" t="s">
        <v>3</v>
      </c>
      <c r="G77" s="6" t="s">
        <v>253</v>
      </c>
      <c r="H77" s="6">
        <v>265</v>
      </c>
      <c r="I77" s="6">
        <v>2</v>
      </c>
      <c r="J77" s="74">
        <v>46318</v>
      </c>
      <c r="K77" s="16" t="s">
        <v>515</v>
      </c>
      <c r="L77" s="19">
        <v>24</v>
      </c>
      <c r="M77" s="6">
        <v>22</v>
      </c>
      <c r="N77" s="6"/>
      <c r="O77" s="8" t="s">
        <v>211</v>
      </c>
      <c r="P77" s="19" t="s">
        <v>417</v>
      </c>
      <c r="Q77" s="31" t="s">
        <v>860</v>
      </c>
      <c r="R77" s="31" t="s">
        <v>465</v>
      </c>
      <c r="S77" s="6"/>
      <c r="T77" s="6">
        <v>2</v>
      </c>
      <c r="U77" s="43">
        <f>[72]Tabelle1!$L$3</f>
        <v>156</v>
      </c>
      <c r="V77" s="46">
        <f>[72]Tabelle1!$L$4</f>
        <v>20</v>
      </c>
      <c r="W77" s="6"/>
      <c r="X77" s="6"/>
      <c r="Y77" s="91" t="s">
        <v>683</v>
      </c>
      <c r="Z77" s="91"/>
      <c r="AA77" s="29"/>
    </row>
    <row r="78" spans="1:27" s="2" customFormat="1" ht="38.25" customHeight="1" x14ac:dyDescent="0.2">
      <c r="A78" s="38" t="s">
        <v>63</v>
      </c>
      <c r="B78" s="8" t="s">
        <v>76</v>
      </c>
      <c r="C78" s="9" t="s">
        <v>426</v>
      </c>
      <c r="D78" s="8">
        <v>140</v>
      </c>
      <c r="E78" s="8" t="s">
        <v>330</v>
      </c>
      <c r="F78" s="6" t="s">
        <v>53</v>
      </c>
      <c r="G78" s="6" t="s">
        <v>240</v>
      </c>
      <c r="H78" s="6">
        <v>322</v>
      </c>
      <c r="I78" s="6">
        <v>5</v>
      </c>
      <c r="J78" s="19">
        <v>27528</v>
      </c>
      <c r="K78" s="34" t="s">
        <v>210</v>
      </c>
      <c r="L78" s="6">
        <v>16</v>
      </c>
      <c r="M78" s="6">
        <v>2</v>
      </c>
      <c r="N78" s="6"/>
      <c r="O78" s="8" t="s">
        <v>211</v>
      </c>
      <c r="P78" s="6" t="s">
        <v>224</v>
      </c>
      <c r="Q78" s="31" t="s">
        <v>860</v>
      </c>
      <c r="R78" s="9" t="s">
        <v>471</v>
      </c>
      <c r="S78" s="6"/>
      <c r="T78" s="6">
        <v>6</v>
      </c>
      <c r="U78" s="43">
        <f>[56]Tabelle1!$L$3</f>
        <v>25</v>
      </c>
      <c r="V78" s="46">
        <f>[56]Tabelle1!$L$4</f>
        <v>10</v>
      </c>
      <c r="W78" s="6"/>
      <c r="X78" s="6"/>
      <c r="Y78" s="91"/>
      <c r="Z78" s="91"/>
      <c r="AA78" s="29"/>
    </row>
    <row r="79" spans="1:27" s="2" customFormat="1" ht="38.25" customHeight="1" x14ac:dyDescent="0.2">
      <c r="A79" s="38" t="s">
        <v>64</v>
      </c>
      <c r="B79" s="8" t="s">
        <v>76</v>
      </c>
      <c r="C79" s="9" t="s">
        <v>361</v>
      </c>
      <c r="D79" s="8" t="s">
        <v>360</v>
      </c>
      <c r="E79" s="8" t="s">
        <v>331</v>
      </c>
      <c r="F79" s="6" t="s">
        <v>57</v>
      </c>
      <c r="G79" s="17" t="s">
        <v>285</v>
      </c>
      <c r="H79" s="6">
        <v>324</v>
      </c>
      <c r="I79" s="6">
        <v>1</v>
      </c>
      <c r="J79" s="8">
        <v>29837</v>
      </c>
      <c r="K79" s="16" t="s">
        <v>323</v>
      </c>
      <c r="L79" s="6">
        <v>16</v>
      </c>
      <c r="M79" s="6">
        <v>8</v>
      </c>
      <c r="N79" s="6"/>
      <c r="O79" s="8" t="s">
        <v>211</v>
      </c>
      <c r="P79" s="6" t="s">
        <v>224</v>
      </c>
      <c r="Q79" s="31" t="s">
        <v>860</v>
      </c>
      <c r="R79" s="9" t="s">
        <v>474</v>
      </c>
      <c r="S79" s="6"/>
      <c r="T79" s="6">
        <v>8</v>
      </c>
      <c r="U79" s="43">
        <f>[73]Tabelle1!$L$3</f>
        <v>70</v>
      </c>
      <c r="V79" s="46">
        <f>[73]Tabelle1!$L$4</f>
        <v>0</v>
      </c>
      <c r="W79" s="6"/>
      <c r="X79" s="6"/>
      <c r="Y79" s="91"/>
      <c r="Z79" s="91" t="s">
        <v>590</v>
      </c>
      <c r="AA79" s="25"/>
    </row>
    <row r="80" spans="1:27" s="2" customFormat="1" ht="38.25" customHeight="1" x14ac:dyDescent="0.2">
      <c r="A80" s="38" t="s">
        <v>40</v>
      </c>
      <c r="B80" s="8" t="s">
        <v>76</v>
      </c>
      <c r="C80" s="9" t="s">
        <v>343</v>
      </c>
      <c r="D80" s="8">
        <v>10</v>
      </c>
      <c r="E80" s="8" t="s">
        <v>208</v>
      </c>
      <c r="F80" s="6" t="s">
        <v>53</v>
      </c>
      <c r="G80" s="6" t="s">
        <v>238</v>
      </c>
      <c r="H80" s="6">
        <v>368</v>
      </c>
      <c r="I80" s="6">
        <v>5</v>
      </c>
      <c r="J80" s="6">
        <v>34643</v>
      </c>
      <c r="K80" s="16" t="s">
        <v>324</v>
      </c>
      <c r="L80" s="6">
        <v>16</v>
      </c>
      <c r="M80" s="6">
        <v>12</v>
      </c>
      <c r="N80" s="6"/>
      <c r="O80" s="8" t="s">
        <v>211</v>
      </c>
      <c r="P80" s="6" t="s">
        <v>224</v>
      </c>
      <c r="Q80" s="31" t="s">
        <v>860</v>
      </c>
      <c r="R80" s="9" t="s">
        <v>470</v>
      </c>
      <c r="S80" s="6"/>
      <c r="T80" s="6">
        <v>4</v>
      </c>
      <c r="U80" s="43">
        <f>[74]Tabelle1!$L$3</f>
        <v>128</v>
      </c>
      <c r="V80" s="46">
        <f>[74]Tabelle1!$L$4</f>
        <v>96</v>
      </c>
      <c r="W80" s="6"/>
      <c r="X80" s="6"/>
      <c r="Y80" s="91"/>
      <c r="Z80" s="91"/>
      <c r="AA80" s="25"/>
    </row>
    <row r="81" spans="1:27" s="2" customFormat="1" ht="38.25" customHeight="1" x14ac:dyDescent="0.2">
      <c r="A81" s="38" t="s">
        <v>41</v>
      </c>
      <c r="B81" s="8" t="s">
        <v>76</v>
      </c>
      <c r="C81" s="9" t="s">
        <v>316</v>
      </c>
      <c r="D81" s="8" t="s">
        <v>345</v>
      </c>
      <c r="E81" s="8" t="s">
        <v>208</v>
      </c>
      <c r="F81" s="6" t="s">
        <v>57</v>
      </c>
      <c r="G81" s="6" t="s">
        <v>54</v>
      </c>
      <c r="H81" s="6">
        <v>280</v>
      </c>
      <c r="I81" s="6">
        <v>1</v>
      </c>
      <c r="J81" s="56">
        <v>36112</v>
      </c>
      <c r="K81" s="34" t="s">
        <v>210</v>
      </c>
      <c r="L81" s="6">
        <v>16</v>
      </c>
      <c r="M81" s="6">
        <v>2</v>
      </c>
      <c r="N81" s="6"/>
      <c r="O81" s="8" t="s">
        <v>211</v>
      </c>
      <c r="P81" s="6" t="s">
        <v>224</v>
      </c>
      <c r="Q81" s="31" t="s">
        <v>860</v>
      </c>
      <c r="R81" s="9" t="s">
        <v>474</v>
      </c>
      <c r="S81" s="6"/>
      <c r="T81" s="6">
        <v>5</v>
      </c>
      <c r="U81" s="43">
        <f>[75]Tabelle1!$L$3</f>
        <v>16</v>
      </c>
      <c r="V81" s="46">
        <f>[75]Tabelle1!$L$4</f>
        <v>0</v>
      </c>
      <c r="W81" s="6"/>
      <c r="X81" s="6"/>
      <c r="Y81" s="91"/>
      <c r="Z81" s="91" t="s">
        <v>611</v>
      </c>
      <c r="AA81" s="57"/>
    </row>
    <row r="82" spans="1:27" s="2" customFormat="1" ht="38.25" customHeight="1" x14ac:dyDescent="0.2">
      <c r="A82" s="38" t="s">
        <v>42</v>
      </c>
      <c r="B82" s="8" t="s">
        <v>76</v>
      </c>
      <c r="C82" s="9" t="s">
        <v>336</v>
      </c>
      <c r="D82" s="8" t="s">
        <v>345</v>
      </c>
      <c r="E82" s="8" t="s">
        <v>208</v>
      </c>
      <c r="F82" s="6" t="s">
        <v>57</v>
      </c>
      <c r="G82" s="6" t="s">
        <v>278</v>
      </c>
      <c r="H82" s="6">
        <v>279</v>
      </c>
      <c r="I82" s="6">
        <v>1</v>
      </c>
      <c r="J82" s="7">
        <v>34644</v>
      </c>
      <c r="K82" s="16" t="s">
        <v>201</v>
      </c>
      <c r="L82" s="6">
        <v>16</v>
      </c>
      <c r="M82" s="6">
        <v>2</v>
      </c>
      <c r="N82" s="6"/>
      <c r="O82" s="8" t="s">
        <v>211</v>
      </c>
      <c r="P82" s="6">
        <v>2000</v>
      </c>
      <c r="Q82" s="31" t="s">
        <v>860</v>
      </c>
      <c r="R82" s="9" t="s">
        <v>474</v>
      </c>
      <c r="S82" s="6"/>
      <c r="T82" s="6">
        <v>2</v>
      </c>
      <c r="U82" s="43">
        <f>[76]Tabelle1!$L$3</f>
        <v>10</v>
      </c>
      <c r="V82" s="46">
        <f>[76]Tabelle1!$L$4</f>
        <v>0</v>
      </c>
      <c r="W82" s="6"/>
      <c r="X82" s="6"/>
      <c r="Y82" s="91"/>
      <c r="Z82" s="91"/>
      <c r="AA82" s="57"/>
    </row>
    <row r="83" spans="1:27" s="2" customFormat="1" ht="38.25" customHeight="1" x14ac:dyDescent="0.2">
      <c r="A83" s="38" t="s">
        <v>43</v>
      </c>
      <c r="B83" s="8" t="s">
        <v>76</v>
      </c>
      <c r="C83" s="9" t="s">
        <v>396</v>
      </c>
      <c r="D83" s="8">
        <v>40</v>
      </c>
      <c r="E83" s="8" t="s">
        <v>208</v>
      </c>
      <c r="F83" s="15" t="s">
        <v>57</v>
      </c>
      <c r="G83" s="15" t="s">
        <v>595</v>
      </c>
      <c r="H83" s="15">
        <v>284</v>
      </c>
      <c r="I83" s="6">
        <v>1</v>
      </c>
      <c r="J83" s="7">
        <v>28585</v>
      </c>
      <c r="K83" s="16" t="s">
        <v>325</v>
      </c>
      <c r="L83" s="6">
        <v>16</v>
      </c>
      <c r="M83" s="6">
        <v>2</v>
      </c>
      <c r="N83" s="6" t="s">
        <v>329</v>
      </c>
      <c r="O83" s="8" t="s">
        <v>211</v>
      </c>
      <c r="P83" s="6">
        <v>2000</v>
      </c>
      <c r="Q83" s="31" t="s">
        <v>860</v>
      </c>
      <c r="R83" s="9" t="s">
        <v>474</v>
      </c>
      <c r="S83" s="6"/>
      <c r="T83" s="6">
        <v>65</v>
      </c>
      <c r="U83" s="43">
        <f>[77]Tabelle1!$L$3</f>
        <v>694</v>
      </c>
      <c r="V83" s="46">
        <f>[77]Tabelle1!$L$4</f>
        <v>0</v>
      </c>
      <c r="W83" s="6"/>
      <c r="X83" s="6"/>
      <c r="Y83" s="91"/>
      <c r="Z83" s="91"/>
      <c r="AA83" s="25"/>
    </row>
    <row r="84" spans="1:27" s="2" customFormat="1" ht="38.25" customHeight="1" x14ac:dyDescent="0.2">
      <c r="A84" s="38" t="s">
        <v>44</v>
      </c>
      <c r="B84" s="8" t="s">
        <v>76</v>
      </c>
      <c r="C84" s="9" t="s">
        <v>397</v>
      </c>
      <c r="D84" s="8">
        <v>40</v>
      </c>
      <c r="E84" s="8" t="s">
        <v>208</v>
      </c>
      <c r="F84" s="15" t="s">
        <v>57</v>
      </c>
      <c r="G84" s="15" t="s">
        <v>462</v>
      </c>
      <c r="H84" s="6">
        <v>283</v>
      </c>
      <c r="I84" s="6">
        <v>1</v>
      </c>
      <c r="J84" s="11">
        <v>33974</v>
      </c>
      <c r="K84" s="34" t="s">
        <v>452</v>
      </c>
      <c r="L84" s="6">
        <v>16</v>
      </c>
      <c r="M84" s="6">
        <v>0</v>
      </c>
      <c r="N84" s="6" t="s">
        <v>836</v>
      </c>
      <c r="O84" s="8" t="s">
        <v>211</v>
      </c>
      <c r="P84" s="6" t="s">
        <v>224</v>
      </c>
      <c r="Q84" s="31" t="s">
        <v>860</v>
      </c>
      <c r="R84" s="9" t="s">
        <v>474</v>
      </c>
      <c r="S84" s="6"/>
      <c r="T84" s="6">
        <v>26</v>
      </c>
      <c r="U84" s="43">
        <f>[78]Tabelle1!$L$3</f>
        <v>192</v>
      </c>
      <c r="V84" s="46">
        <f>[78]Tabelle1!$L$4</f>
        <v>0</v>
      </c>
      <c r="W84" s="6"/>
      <c r="X84" s="6"/>
      <c r="Y84" s="91"/>
      <c r="Z84" s="91"/>
      <c r="AA84" s="57"/>
    </row>
    <row r="85" spans="1:27" s="2" customFormat="1" ht="38.25" customHeight="1" x14ac:dyDescent="0.2">
      <c r="A85" s="38" t="s">
        <v>46</v>
      </c>
      <c r="B85" s="8" t="s">
        <v>76</v>
      </c>
      <c r="C85" s="9" t="s">
        <v>304</v>
      </c>
      <c r="D85" s="8">
        <v>30</v>
      </c>
      <c r="E85" s="8" t="s">
        <v>208</v>
      </c>
      <c r="F85" s="6" t="s">
        <v>57</v>
      </c>
      <c r="G85" s="6" t="s">
        <v>283</v>
      </c>
      <c r="H85" s="6">
        <v>288</v>
      </c>
      <c r="I85" s="6">
        <v>2</v>
      </c>
      <c r="J85" s="7">
        <v>33980</v>
      </c>
      <c r="K85" s="16" t="s">
        <v>326</v>
      </c>
      <c r="L85" s="6"/>
      <c r="M85" s="6"/>
      <c r="N85" s="6" t="s">
        <v>213</v>
      </c>
      <c r="O85" s="8" t="s">
        <v>211</v>
      </c>
      <c r="P85" s="6" t="s">
        <v>224</v>
      </c>
      <c r="Q85" s="31" t="s">
        <v>860</v>
      </c>
      <c r="R85" s="9" t="s">
        <v>474</v>
      </c>
      <c r="S85" s="6"/>
      <c r="T85" s="6">
        <v>24</v>
      </c>
      <c r="U85" s="43">
        <f>[79]Tabelle1!$L$3</f>
        <v>56</v>
      </c>
      <c r="V85" s="46">
        <f>[79]Tabelle1!$L$4</f>
        <v>0</v>
      </c>
      <c r="W85" s="6"/>
      <c r="X85" s="6"/>
      <c r="Y85" s="91"/>
      <c r="Z85" s="91"/>
      <c r="AA85" s="25"/>
    </row>
    <row r="86" spans="1:27" s="2" customFormat="1" ht="38.25" customHeight="1" x14ac:dyDescent="0.2">
      <c r="A86" s="38" t="s">
        <v>45</v>
      </c>
      <c r="B86" s="8" t="s">
        <v>76</v>
      </c>
      <c r="C86" s="9" t="s">
        <v>333</v>
      </c>
      <c r="D86" s="8">
        <v>40</v>
      </c>
      <c r="E86" s="8" t="s">
        <v>208</v>
      </c>
      <c r="F86" s="15" t="s">
        <v>3</v>
      </c>
      <c r="G86" s="15" t="s">
        <v>631</v>
      </c>
      <c r="H86" s="6">
        <v>290</v>
      </c>
      <c r="I86" s="6">
        <v>2</v>
      </c>
      <c r="J86" s="6">
        <v>28574</v>
      </c>
      <c r="K86" s="16" t="s">
        <v>326</v>
      </c>
      <c r="L86" s="6">
        <v>16</v>
      </c>
      <c r="M86" s="6">
        <v>2</v>
      </c>
      <c r="N86" s="6"/>
      <c r="O86" s="8" t="s">
        <v>211</v>
      </c>
      <c r="P86" s="6">
        <v>2000</v>
      </c>
      <c r="Q86" s="31" t="s">
        <v>860</v>
      </c>
      <c r="R86" s="9" t="s">
        <v>435</v>
      </c>
      <c r="S86" s="6"/>
      <c r="T86" s="6">
        <v>22</v>
      </c>
      <c r="U86" s="43">
        <f>[80]Tabelle1!$L$3</f>
        <v>0</v>
      </c>
      <c r="V86" s="46">
        <f>[80]Tabelle1!$L$4</f>
        <v>8</v>
      </c>
      <c r="W86" s="6"/>
      <c r="X86" s="6"/>
      <c r="Y86" s="91"/>
      <c r="Z86" s="91"/>
      <c r="AA86" s="25"/>
    </row>
    <row r="87" spans="1:27" s="2" customFormat="1" ht="38.25" customHeight="1" x14ac:dyDescent="0.2">
      <c r="A87" s="38" t="s">
        <v>47</v>
      </c>
      <c r="B87" s="78" t="s">
        <v>416</v>
      </c>
      <c r="C87" s="9" t="s">
        <v>335</v>
      </c>
      <c r="D87" s="8">
        <v>40</v>
      </c>
      <c r="E87" s="8" t="s">
        <v>208</v>
      </c>
      <c r="F87" s="15" t="s">
        <v>3</v>
      </c>
      <c r="G87" s="15" t="s">
        <v>257</v>
      </c>
      <c r="H87" s="6">
        <v>287</v>
      </c>
      <c r="I87" s="6">
        <v>2</v>
      </c>
      <c r="J87" s="15">
        <v>47098</v>
      </c>
      <c r="K87" s="34" t="s">
        <v>634</v>
      </c>
      <c r="L87" s="6">
        <v>4</v>
      </c>
      <c r="M87" s="19">
        <v>0</v>
      </c>
      <c r="N87" s="6" t="s">
        <v>329</v>
      </c>
      <c r="O87" s="19" t="s">
        <v>211</v>
      </c>
      <c r="P87" s="6" t="s">
        <v>417</v>
      </c>
      <c r="Q87" s="31" t="s">
        <v>860</v>
      </c>
      <c r="R87" s="31" t="s">
        <v>527</v>
      </c>
      <c r="S87" s="6"/>
      <c r="T87" s="6">
        <v>19</v>
      </c>
      <c r="U87" s="43">
        <f>[81]Tabelle1!$L$3</f>
        <v>0</v>
      </c>
      <c r="V87" s="80">
        <f>[81]Tabelle1!$L$4</f>
        <v>223</v>
      </c>
      <c r="W87" s="6"/>
      <c r="X87" s="6"/>
      <c r="Y87" s="91" t="s">
        <v>684</v>
      </c>
      <c r="Z87" s="91"/>
      <c r="AA87" s="25"/>
    </row>
    <row r="88" spans="1:27" s="2" customFormat="1" ht="38.25" customHeight="1" x14ac:dyDescent="0.2">
      <c r="A88" s="38" t="s">
        <v>48</v>
      </c>
      <c r="B88" s="8" t="s">
        <v>76</v>
      </c>
      <c r="C88" s="9" t="s">
        <v>335</v>
      </c>
      <c r="D88" s="8">
        <v>180</v>
      </c>
      <c r="E88" s="8" t="s">
        <v>208</v>
      </c>
      <c r="F88" s="15" t="s">
        <v>3</v>
      </c>
      <c r="G88" s="6" t="s">
        <v>646</v>
      </c>
      <c r="H88" s="6">
        <v>292</v>
      </c>
      <c r="I88" s="6">
        <v>2</v>
      </c>
      <c r="J88" s="6">
        <v>36781</v>
      </c>
      <c r="K88" s="16" t="s">
        <v>326</v>
      </c>
      <c r="L88" s="6">
        <v>16</v>
      </c>
      <c r="M88" s="6">
        <v>2</v>
      </c>
      <c r="N88" s="6" t="s">
        <v>213</v>
      </c>
      <c r="O88" s="8" t="s">
        <v>211</v>
      </c>
      <c r="P88" s="6" t="s">
        <v>224</v>
      </c>
      <c r="Q88" s="31" t="s">
        <v>860</v>
      </c>
      <c r="R88" s="9" t="s">
        <v>470</v>
      </c>
      <c r="S88" s="6"/>
      <c r="T88" s="6">
        <v>18</v>
      </c>
      <c r="U88" s="43">
        <f>[82]Tabelle1!$L$3</f>
        <v>156</v>
      </c>
      <c r="V88" s="46">
        <f>[82]Tabelle1!$L$4</f>
        <v>0</v>
      </c>
      <c r="W88" s="6"/>
      <c r="X88" s="6"/>
      <c r="Y88" s="91"/>
      <c r="Z88" s="91"/>
      <c r="AA88" s="25"/>
    </row>
    <row r="89" spans="1:27" s="2" customFormat="1" ht="38.25" customHeight="1" x14ac:dyDescent="0.2">
      <c r="A89" s="38" t="s">
        <v>49</v>
      </c>
      <c r="B89" s="8" t="s">
        <v>76</v>
      </c>
      <c r="C89" s="9" t="s">
        <v>304</v>
      </c>
      <c r="D89" s="8" t="s">
        <v>398</v>
      </c>
      <c r="E89" s="8" t="s">
        <v>208</v>
      </c>
      <c r="F89" s="6" t="s">
        <v>3</v>
      </c>
      <c r="G89" s="6" t="s">
        <v>415</v>
      </c>
      <c r="H89" s="6">
        <v>9</v>
      </c>
      <c r="I89" s="6">
        <v>2</v>
      </c>
      <c r="J89" s="7">
        <v>28577</v>
      </c>
      <c r="K89" s="16" t="s">
        <v>327</v>
      </c>
      <c r="L89" s="6">
        <v>16</v>
      </c>
      <c r="M89" s="6">
        <v>2</v>
      </c>
      <c r="N89" s="6" t="s">
        <v>213</v>
      </c>
      <c r="O89" s="8" t="s">
        <v>211</v>
      </c>
      <c r="P89" s="6" t="s">
        <v>224</v>
      </c>
      <c r="Q89" s="31" t="s">
        <v>860</v>
      </c>
      <c r="R89" s="9" t="s">
        <v>435</v>
      </c>
      <c r="S89" s="6"/>
      <c r="T89" s="6">
        <v>16</v>
      </c>
      <c r="U89" s="43">
        <f>[83]Tabelle1!$L$3</f>
        <v>26</v>
      </c>
      <c r="V89" s="46">
        <f>[83]Tabelle1!$L$4</f>
        <v>0</v>
      </c>
      <c r="W89" s="6"/>
      <c r="X89" s="6"/>
      <c r="Y89" s="91"/>
      <c r="Z89" s="91"/>
      <c r="AA89" s="25"/>
    </row>
    <row r="90" spans="1:27" s="2" customFormat="1" ht="38.25" customHeight="1" x14ac:dyDescent="0.2">
      <c r="A90" s="38" t="s">
        <v>50</v>
      </c>
      <c r="B90" s="78" t="s">
        <v>416</v>
      </c>
      <c r="C90" s="27" t="s">
        <v>607</v>
      </c>
      <c r="D90" s="22">
        <v>190</v>
      </c>
      <c r="E90" s="22" t="s">
        <v>208</v>
      </c>
      <c r="F90" s="19" t="s">
        <v>3</v>
      </c>
      <c r="G90" s="19" t="s">
        <v>541</v>
      </c>
      <c r="H90" s="19">
        <v>296</v>
      </c>
      <c r="I90" s="19">
        <v>2</v>
      </c>
      <c r="J90" s="108">
        <v>47376</v>
      </c>
      <c r="K90" s="34" t="s">
        <v>515</v>
      </c>
      <c r="L90" s="19">
        <v>16</v>
      </c>
      <c r="M90" s="19">
        <v>0</v>
      </c>
      <c r="N90" s="19"/>
      <c r="O90" s="22" t="s">
        <v>212</v>
      </c>
      <c r="P90" s="19" t="s">
        <v>577</v>
      </c>
      <c r="Q90" s="31" t="s">
        <v>860</v>
      </c>
      <c r="R90" s="27"/>
      <c r="S90" s="19"/>
      <c r="T90" s="19">
        <v>35</v>
      </c>
      <c r="U90" s="44">
        <f>[84]Tabelle1!$L$3</f>
        <v>65</v>
      </c>
      <c r="V90" s="47">
        <f>[84]Tabelle1!$L$4</f>
        <v>0</v>
      </c>
      <c r="W90" s="6"/>
      <c r="X90" s="6"/>
      <c r="Y90" s="91"/>
      <c r="Z90" s="91"/>
      <c r="AA90" s="25"/>
    </row>
    <row r="91" spans="1:27" s="2" customFormat="1" ht="38.25" customHeight="1" x14ac:dyDescent="0.2">
      <c r="A91" s="38" t="s">
        <v>51</v>
      </c>
      <c r="B91" s="8" t="s">
        <v>76</v>
      </c>
      <c r="C91" s="9" t="s">
        <v>387</v>
      </c>
      <c r="D91" s="8">
        <v>190</v>
      </c>
      <c r="E91" s="8" t="s">
        <v>208</v>
      </c>
      <c r="F91" s="15" t="s">
        <v>3</v>
      </c>
      <c r="G91" s="15" t="s">
        <v>247</v>
      </c>
      <c r="H91" s="6">
        <v>299</v>
      </c>
      <c r="I91" s="6">
        <v>1</v>
      </c>
      <c r="J91" s="72">
        <v>29282</v>
      </c>
      <c r="K91" s="16" t="s">
        <v>327</v>
      </c>
      <c r="L91" s="6">
        <v>16</v>
      </c>
      <c r="M91" s="6">
        <v>3</v>
      </c>
      <c r="N91" s="6" t="s">
        <v>213</v>
      </c>
      <c r="O91" s="8" t="s">
        <v>211</v>
      </c>
      <c r="P91" s="6" t="s">
        <v>224</v>
      </c>
      <c r="Q91" s="31" t="s">
        <v>860</v>
      </c>
      <c r="R91" s="9" t="s">
        <v>435</v>
      </c>
      <c r="S91" s="6"/>
      <c r="T91" s="6">
        <v>19</v>
      </c>
      <c r="U91" s="43">
        <f>[85]Tabelle1!$L$3</f>
        <v>105</v>
      </c>
      <c r="V91" s="46">
        <f>[85]Tabelle1!$L$4</f>
        <v>0</v>
      </c>
      <c r="W91" s="6"/>
      <c r="X91" s="6"/>
      <c r="Y91" s="91"/>
      <c r="Z91" s="91"/>
      <c r="AA91" s="25"/>
    </row>
    <row r="92" spans="1:27" s="2" customFormat="1" ht="38.25" customHeight="1" x14ac:dyDescent="0.2">
      <c r="A92" s="38" t="s">
        <v>52</v>
      </c>
      <c r="B92" s="8" t="s">
        <v>76</v>
      </c>
      <c r="C92" s="9" t="s">
        <v>388</v>
      </c>
      <c r="D92" s="8">
        <v>190</v>
      </c>
      <c r="E92" s="8" t="s">
        <v>208</v>
      </c>
      <c r="F92" s="15" t="s">
        <v>3</v>
      </c>
      <c r="G92" s="15" t="s">
        <v>247</v>
      </c>
      <c r="H92" s="6">
        <v>300</v>
      </c>
      <c r="I92" s="6">
        <v>1</v>
      </c>
      <c r="J92" s="72">
        <v>36104</v>
      </c>
      <c r="K92" s="34" t="s">
        <v>210</v>
      </c>
      <c r="L92" s="6">
        <v>16</v>
      </c>
      <c r="M92" s="6">
        <v>3</v>
      </c>
      <c r="N92" s="6" t="s">
        <v>213</v>
      </c>
      <c r="O92" s="8" t="s">
        <v>211</v>
      </c>
      <c r="P92" s="6" t="s">
        <v>224</v>
      </c>
      <c r="Q92" s="31" t="s">
        <v>860</v>
      </c>
      <c r="R92" s="9" t="s">
        <v>435</v>
      </c>
      <c r="S92" s="6"/>
      <c r="T92" s="6">
        <v>10</v>
      </c>
      <c r="U92" s="43">
        <f>[86]Tabelle1!$L$3</f>
        <v>70</v>
      </c>
      <c r="V92" s="46">
        <f>[86]Tabelle1!$L$4</f>
        <v>0</v>
      </c>
      <c r="W92" s="6"/>
      <c r="X92" s="6"/>
      <c r="Y92" s="91"/>
      <c r="Z92" s="91"/>
      <c r="AA92" s="65"/>
    </row>
    <row r="93" spans="1:27" s="2" customFormat="1" ht="38.25" customHeight="1" x14ac:dyDescent="0.2">
      <c r="A93" s="38" t="s">
        <v>66</v>
      </c>
      <c r="B93" s="8" t="s">
        <v>76</v>
      </c>
      <c r="C93" s="9" t="s">
        <v>333</v>
      </c>
      <c r="D93" s="8">
        <v>65</v>
      </c>
      <c r="E93" s="8" t="s">
        <v>208</v>
      </c>
      <c r="F93" s="15" t="s">
        <v>3</v>
      </c>
      <c r="G93" s="15" t="s">
        <v>56</v>
      </c>
      <c r="H93" s="6">
        <v>350</v>
      </c>
      <c r="I93" s="6">
        <v>2</v>
      </c>
      <c r="J93" s="6">
        <v>28587</v>
      </c>
      <c r="K93" s="16" t="s">
        <v>326</v>
      </c>
      <c r="L93" s="6">
        <v>16</v>
      </c>
      <c r="M93" s="6">
        <v>11</v>
      </c>
      <c r="N93" s="6"/>
      <c r="O93" s="8" t="s">
        <v>211</v>
      </c>
      <c r="P93" s="6">
        <v>2000</v>
      </c>
      <c r="Q93" s="31" t="s">
        <v>860</v>
      </c>
      <c r="R93" s="9" t="s">
        <v>435</v>
      </c>
      <c r="S93" s="6"/>
      <c r="T93" s="6">
        <v>3</v>
      </c>
      <c r="U93" s="43">
        <f>[87]Tabelle1!$L$3</f>
        <v>0</v>
      </c>
      <c r="V93" s="46">
        <f>[87]Tabelle1!$L$4</f>
        <v>16</v>
      </c>
      <c r="W93" s="6"/>
      <c r="X93" s="6"/>
      <c r="Y93" s="91"/>
      <c r="Z93" s="91"/>
      <c r="AA93" s="25"/>
    </row>
    <row r="94" spans="1:27" s="2" customFormat="1" ht="38.25" customHeight="1" x14ac:dyDescent="0.2">
      <c r="A94" s="38" t="s">
        <v>67</v>
      </c>
      <c r="B94" s="8" t="s">
        <v>76</v>
      </c>
      <c r="C94" s="9" t="s">
        <v>303</v>
      </c>
      <c r="D94" s="8" t="s">
        <v>195</v>
      </c>
      <c r="E94" s="8" t="s">
        <v>208</v>
      </c>
      <c r="F94" s="6" t="s">
        <v>57</v>
      </c>
      <c r="G94" s="6" t="s">
        <v>271</v>
      </c>
      <c r="H94" s="6">
        <v>352</v>
      </c>
      <c r="I94" s="6">
        <v>1</v>
      </c>
      <c r="J94" s="7">
        <v>29788</v>
      </c>
      <c r="K94" s="16" t="s">
        <v>477</v>
      </c>
      <c r="L94" s="6">
        <v>32</v>
      </c>
      <c r="M94" s="6">
        <v>17</v>
      </c>
      <c r="N94" s="6"/>
      <c r="O94" s="8" t="s">
        <v>211</v>
      </c>
      <c r="P94" s="6" t="s">
        <v>224</v>
      </c>
      <c r="Q94" s="31" t="s">
        <v>860</v>
      </c>
      <c r="R94" s="9" t="s">
        <v>474</v>
      </c>
      <c r="S94" s="6"/>
      <c r="T94" s="6">
        <v>2</v>
      </c>
      <c r="U94" s="43">
        <f>[88]Tabelle1!$L$3</f>
        <v>220</v>
      </c>
      <c r="V94" s="46">
        <f>[88]Tabelle1!$L$4</f>
        <v>0</v>
      </c>
      <c r="W94" s="6"/>
      <c r="X94" s="6"/>
      <c r="Y94" s="91"/>
      <c r="Z94" s="91" t="s">
        <v>651</v>
      </c>
      <c r="AA94" s="25"/>
    </row>
    <row r="95" spans="1:27" s="2" customFormat="1" ht="38.25" customHeight="1" x14ac:dyDescent="0.2">
      <c r="A95" s="38" t="s">
        <v>68</v>
      </c>
      <c r="B95" s="8" t="s">
        <v>76</v>
      </c>
      <c r="C95" s="9" t="s">
        <v>306</v>
      </c>
      <c r="D95" s="8" t="s">
        <v>195</v>
      </c>
      <c r="E95" s="8" t="s">
        <v>208</v>
      </c>
      <c r="F95" s="15" t="s">
        <v>57</v>
      </c>
      <c r="G95" s="15" t="s">
        <v>447</v>
      </c>
      <c r="H95" s="15">
        <v>351</v>
      </c>
      <c r="I95" s="6">
        <v>1</v>
      </c>
      <c r="J95" s="11">
        <v>35749</v>
      </c>
      <c r="K95" s="16" t="s">
        <v>201</v>
      </c>
      <c r="L95" s="6">
        <v>24</v>
      </c>
      <c r="M95" s="6">
        <v>18</v>
      </c>
      <c r="N95" s="6"/>
      <c r="O95" s="6" t="s">
        <v>211</v>
      </c>
      <c r="P95" s="6" t="s">
        <v>224</v>
      </c>
      <c r="Q95" s="31" t="s">
        <v>860</v>
      </c>
      <c r="R95" s="9" t="s">
        <v>435</v>
      </c>
      <c r="S95" s="6"/>
      <c r="T95" s="6">
        <v>5</v>
      </c>
      <c r="U95" s="43">
        <f>[89]Tabelle1!$L$3</f>
        <v>234</v>
      </c>
      <c r="V95" s="46">
        <f>[89]Tabelle1!$L$4</f>
        <v>18</v>
      </c>
      <c r="W95" s="6"/>
      <c r="X95" s="6"/>
      <c r="Y95" s="91"/>
      <c r="Z95" s="91" t="s">
        <v>612</v>
      </c>
      <c r="AA95" s="29"/>
    </row>
    <row r="96" spans="1:27" s="2" customFormat="1" ht="38.25" customHeight="1" x14ac:dyDescent="0.2">
      <c r="A96" s="38" t="s">
        <v>78</v>
      </c>
      <c r="B96" s="53" t="s">
        <v>416</v>
      </c>
      <c r="C96" s="9" t="s">
        <v>400</v>
      </c>
      <c r="D96" s="8">
        <v>80</v>
      </c>
      <c r="E96" s="8" t="s">
        <v>208</v>
      </c>
      <c r="F96" s="15" t="s">
        <v>3</v>
      </c>
      <c r="G96" s="15" t="s">
        <v>268</v>
      </c>
      <c r="H96" s="15">
        <v>355</v>
      </c>
      <c r="I96" s="6">
        <v>1</v>
      </c>
      <c r="J96" s="66">
        <v>46115</v>
      </c>
      <c r="K96" s="16" t="s">
        <v>515</v>
      </c>
      <c r="L96" s="6">
        <v>16</v>
      </c>
      <c r="M96" s="6">
        <v>0</v>
      </c>
      <c r="N96" s="6"/>
      <c r="O96" s="6"/>
      <c r="P96" s="6" t="s">
        <v>417</v>
      </c>
      <c r="Q96" s="31" t="s">
        <v>860</v>
      </c>
      <c r="R96" s="31" t="s">
        <v>464</v>
      </c>
      <c r="S96" s="6"/>
      <c r="T96" s="6">
        <v>4</v>
      </c>
      <c r="U96" s="43">
        <f>[90]Tabelle1!$L$3</f>
        <v>24</v>
      </c>
      <c r="V96" s="46">
        <f>[90]Tabelle1!$L$4</f>
        <v>0</v>
      </c>
      <c r="W96" s="6"/>
      <c r="X96" s="6"/>
      <c r="Y96" s="91"/>
      <c r="Z96" s="91"/>
      <c r="AA96" s="61"/>
    </row>
    <row r="97" spans="1:27" s="2" customFormat="1" ht="38.25" customHeight="1" x14ac:dyDescent="0.2">
      <c r="A97" s="38" t="s">
        <v>69</v>
      </c>
      <c r="B97" s="8" t="s">
        <v>76</v>
      </c>
      <c r="C97" s="9" t="s">
        <v>389</v>
      </c>
      <c r="D97" s="8">
        <v>180</v>
      </c>
      <c r="E97" s="8" t="s">
        <v>208</v>
      </c>
      <c r="F97" s="15" t="s">
        <v>3</v>
      </c>
      <c r="G97" s="15" t="s">
        <v>446</v>
      </c>
      <c r="H97" s="6">
        <v>293</v>
      </c>
      <c r="I97" s="6">
        <v>1</v>
      </c>
      <c r="J97" s="6">
        <v>28573</v>
      </c>
      <c r="K97" s="16" t="s">
        <v>327</v>
      </c>
      <c r="L97" s="6">
        <v>16</v>
      </c>
      <c r="M97" s="6">
        <v>0</v>
      </c>
      <c r="N97" s="8" t="s">
        <v>529</v>
      </c>
      <c r="O97" s="8" t="s">
        <v>211</v>
      </c>
      <c r="P97" s="6" t="s">
        <v>224</v>
      </c>
      <c r="Q97" s="31" t="s">
        <v>860</v>
      </c>
      <c r="R97" s="9" t="s">
        <v>435</v>
      </c>
      <c r="S97" s="6"/>
      <c r="T97" s="6">
        <v>22</v>
      </c>
      <c r="U97" s="43">
        <f>[91]Tabelle1!$L$3</f>
        <v>68</v>
      </c>
      <c r="V97" s="46">
        <f>[91]Tabelle1!$L$4</f>
        <v>0</v>
      </c>
      <c r="W97" s="6"/>
      <c r="X97" s="6"/>
      <c r="Y97" s="91"/>
      <c r="Z97" s="91"/>
      <c r="AA97" s="25"/>
    </row>
    <row r="98" spans="1:27" s="2" customFormat="1" ht="38.25" customHeight="1" x14ac:dyDescent="0.2">
      <c r="A98" s="38" t="s">
        <v>71</v>
      </c>
      <c r="B98" s="8" t="s">
        <v>76</v>
      </c>
      <c r="C98" s="9" t="s">
        <v>399</v>
      </c>
      <c r="D98" s="8">
        <v>110</v>
      </c>
      <c r="E98" s="8" t="s">
        <v>208</v>
      </c>
      <c r="F98" s="15" t="s">
        <v>3</v>
      </c>
      <c r="G98" s="15" t="s">
        <v>261</v>
      </c>
      <c r="H98" s="6">
        <v>313</v>
      </c>
      <c r="I98" s="6">
        <v>5</v>
      </c>
      <c r="J98" s="6">
        <v>29672</v>
      </c>
      <c r="K98" s="34" t="s">
        <v>210</v>
      </c>
      <c r="L98" s="6">
        <v>16</v>
      </c>
      <c r="M98" s="6">
        <v>10</v>
      </c>
      <c r="N98" s="6"/>
      <c r="O98" s="8" t="s">
        <v>211</v>
      </c>
      <c r="P98" s="6" t="s">
        <v>224</v>
      </c>
      <c r="Q98" s="31" t="s">
        <v>860</v>
      </c>
      <c r="R98" s="31" t="s">
        <v>465</v>
      </c>
      <c r="S98" s="6"/>
      <c r="T98" s="6">
        <v>3</v>
      </c>
      <c r="U98" s="43">
        <f>[92]Tabelle1!$L$3</f>
        <v>0</v>
      </c>
      <c r="V98" s="46">
        <f>[92]Tabelle1!$L$4</f>
        <v>60</v>
      </c>
      <c r="W98" s="6"/>
      <c r="X98" s="6"/>
      <c r="Y98" s="91"/>
      <c r="Z98" s="91"/>
      <c r="AA98" s="25"/>
    </row>
    <row r="99" spans="1:27" s="2" customFormat="1" ht="38.25" customHeight="1" x14ac:dyDescent="0.2">
      <c r="A99" s="38" t="s">
        <v>72</v>
      </c>
      <c r="B99" s="8" t="s">
        <v>76</v>
      </c>
      <c r="C99" s="9" t="s">
        <v>340</v>
      </c>
      <c r="D99" s="8" t="s">
        <v>195</v>
      </c>
      <c r="E99" s="8" t="s">
        <v>208</v>
      </c>
      <c r="F99" s="6" t="s">
        <v>57</v>
      </c>
      <c r="G99" s="6" t="s">
        <v>508</v>
      </c>
      <c r="H99" s="6">
        <v>358</v>
      </c>
      <c r="I99" s="6">
        <v>1</v>
      </c>
      <c r="J99" s="7">
        <v>27522</v>
      </c>
      <c r="K99" s="16" t="s">
        <v>323</v>
      </c>
      <c r="L99" s="6">
        <v>16</v>
      </c>
      <c r="M99" s="6">
        <v>7</v>
      </c>
      <c r="N99" s="6"/>
      <c r="O99" s="8" t="s">
        <v>211</v>
      </c>
      <c r="P99" s="6" t="s">
        <v>224</v>
      </c>
      <c r="Q99" s="31" t="s">
        <v>860</v>
      </c>
      <c r="R99" s="31" t="s">
        <v>578</v>
      </c>
      <c r="S99" s="6"/>
      <c r="T99" s="6">
        <v>3</v>
      </c>
      <c r="U99" s="43">
        <f>[93]Tabelle1!$L$3</f>
        <v>175</v>
      </c>
      <c r="V99" s="46">
        <f>[93]Tabelle1!$L$4</f>
        <v>21</v>
      </c>
      <c r="W99" s="6"/>
      <c r="X99" s="6"/>
      <c r="Y99" s="91"/>
      <c r="Z99" s="91"/>
      <c r="AA99" s="25"/>
    </row>
    <row r="100" spans="1:27" s="2" customFormat="1" ht="38.25" customHeight="1" x14ac:dyDescent="0.2">
      <c r="A100" s="38" t="s">
        <v>73</v>
      </c>
      <c r="B100" s="53" t="s">
        <v>416</v>
      </c>
      <c r="C100" s="9" t="s">
        <v>364</v>
      </c>
      <c r="D100" s="8" t="s">
        <v>403</v>
      </c>
      <c r="E100" s="8" t="s">
        <v>330</v>
      </c>
      <c r="F100" s="6" t="s">
        <v>53</v>
      </c>
      <c r="G100" s="6" t="s">
        <v>536</v>
      </c>
      <c r="H100" s="6">
        <v>337</v>
      </c>
      <c r="I100" s="6">
        <v>5</v>
      </c>
      <c r="J100" s="8">
        <v>46985</v>
      </c>
      <c r="K100" s="34" t="s">
        <v>515</v>
      </c>
      <c r="L100" s="6">
        <v>16</v>
      </c>
      <c r="M100" s="6">
        <v>11</v>
      </c>
      <c r="N100" s="6"/>
      <c r="O100" s="8" t="s">
        <v>211</v>
      </c>
      <c r="P100" s="6" t="s">
        <v>224</v>
      </c>
      <c r="Q100" s="31" t="s">
        <v>860</v>
      </c>
      <c r="R100" s="31" t="s">
        <v>470</v>
      </c>
      <c r="S100" s="6"/>
      <c r="T100" s="6">
        <v>3</v>
      </c>
      <c r="U100" s="43">
        <f>[94]Tabelle1!$L$3</f>
        <v>50</v>
      </c>
      <c r="V100" s="46">
        <f>[94]Tabelle1!$L$4</f>
        <v>44</v>
      </c>
      <c r="W100" s="6"/>
      <c r="X100" s="6"/>
      <c r="Y100" s="91" t="s">
        <v>688</v>
      </c>
      <c r="Z100" s="91"/>
      <c r="AA100" s="25"/>
    </row>
    <row r="101" spans="1:27" s="2" customFormat="1" ht="38.25" customHeight="1" x14ac:dyDescent="0.2">
      <c r="A101" s="38" t="s">
        <v>74</v>
      </c>
      <c r="B101" s="8" t="s">
        <v>76</v>
      </c>
      <c r="C101" s="9" t="s">
        <v>402</v>
      </c>
      <c r="D101" s="8">
        <v>140</v>
      </c>
      <c r="E101" s="8" t="s">
        <v>208</v>
      </c>
      <c r="F101" s="15" t="s">
        <v>3</v>
      </c>
      <c r="G101" s="15" t="s">
        <v>150</v>
      </c>
      <c r="H101" s="6">
        <v>356</v>
      </c>
      <c r="I101" s="6">
        <v>1</v>
      </c>
      <c r="J101" s="6">
        <v>34775</v>
      </c>
      <c r="K101" s="16" t="s">
        <v>326</v>
      </c>
      <c r="L101" s="6">
        <v>16</v>
      </c>
      <c r="M101" s="6">
        <v>12</v>
      </c>
      <c r="N101" s="6"/>
      <c r="O101" s="8" t="s">
        <v>211</v>
      </c>
      <c r="P101" s="6" t="s">
        <v>224</v>
      </c>
      <c r="Q101" s="31" t="s">
        <v>860</v>
      </c>
      <c r="R101" s="9" t="s">
        <v>435</v>
      </c>
      <c r="S101" s="6"/>
      <c r="T101" s="6">
        <v>5</v>
      </c>
      <c r="U101" s="43">
        <f>[95]Tabelle1!$L$3</f>
        <v>818</v>
      </c>
      <c r="V101" s="80">
        <f>[95]Tabelle1!$L$4</f>
        <v>162</v>
      </c>
      <c r="W101" s="6"/>
      <c r="X101" s="6"/>
      <c r="Y101" s="91"/>
      <c r="Z101" s="91"/>
      <c r="AA101" s="25"/>
    </row>
    <row r="102" spans="1:27" s="2" customFormat="1" ht="38.25" customHeight="1" x14ac:dyDescent="0.2">
      <c r="A102" s="38" t="s">
        <v>75</v>
      </c>
      <c r="B102" s="53" t="s">
        <v>416</v>
      </c>
      <c r="C102" s="9" t="s">
        <v>401</v>
      </c>
      <c r="D102" s="8">
        <v>140</v>
      </c>
      <c r="E102" s="8" t="s">
        <v>208</v>
      </c>
      <c r="F102" s="15" t="s">
        <v>3</v>
      </c>
      <c r="G102" s="15" t="s">
        <v>251</v>
      </c>
      <c r="H102" s="6">
        <v>357</v>
      </c>
      <c r="I102" s="6">
        <v>1</v>
      </c>
      <c r="J102" s="72">
        <v>48211</v>
      </c>
      <c r="K102" s="34" t="s">
        <v>515</v>
      </c>
      <c r="L102" s="6">
        <v>32</v>
      </c>
      <c r="M102" s="6">
        <v>19</v>
      </c>
      <c r="N102" s="6"/>
      <c r="O102" s="8" t="s">
        <v>211</v>
      </c>
      <c r="P102" s="6" t="s">
        <v>224</v>
      </c>
      <c r="Q102" s="31" t="s">
        <v>860</v>
      </c>
      <c r="R102" s="9" t="s">
        <v>435</v>
      </c>
      <c r="S102" s="6">
        <v>1</v>
      </c>
      <c r="T102" s="6">
        <v>2</v>
      </c>
      <c r="U102" s="43">
        <f>[96]Tabelle1!$L$3</f>
        <v>264</v>
      </c>
      <c r="V102" s="80">
        <f>[96]Tabelle1!$L$4</f>
        <v>22</v>
      </c>
      <c r="W102" s="6"/>
      <c r="X102" s="6"/>
      <c r="Y102" s="91" t="s">
        <v>696</v>
      </c>
      <c r="Z102" s="91"/>
      <c r="AA102" s="25"/>
    </row>
    <row r="103" spans="1:27" s="2" customFormat="1" ht="38.25" customHeight="1" x14ac:dyDescent="0.2">
      <c r="A103" s="38" t="s">
        <v>77</v>
      </c>
      <c r="B103" s="8" t="s">
        <v>76</v>
      </c>
      <c r="C103" s="9" t="s">
        <v>404</v>
      </c>
      <c r="D103" s="8" t="s">
        <v>195</v>
      </c>
      <c r="E103" s="8" t="s">
        <v>405</v>
      </c>
      <c r="F103" s="6" t="s">
        <v>53</v>
      </c>
      <c r="G103" s="6" t="s">
        <v>61</v>
      </c>
      <c r="H103" s="24">
        <v>46</v>
      </c>
      <c r="I103" s="6">
        <v>5</v>
      </c>
      <c r="J103" s="7">
        <v>27524</v>
      </c>
      <c r="K103" s="16" t="s">
        <v>209</v>
      </c>
      <c r="L103" s="6">
        <v>16</v>
      </c>
      <c r="M103" s="6">
        <v>5</v>
      </c>
      <c r="N103" s="10"/>
      <c r="O103" s="8" t="s">
        <v>211</v>
      </c>
      <c r="P103" s="6" t="s">
        <v>224</v>
      </c>
      <c r="Q103" s="31" t="s">
        <v>860</v>
      </c>
      <c r="R103" s="9" t="s">
        <v>470</v>
      </c>
      <c r="S103" s="6"/>
      <c r="T103" s="6">
        <v>3</v>
      </c>
      <c r="U103" s="43">
        <f>[97]Tabelle1!$L$3</f>
        <v>8</v>
      </c>
      <c r="V103" s="46">
        <f>[97]Tabelle1!$L$4</f>
        <v>3</v>
      </c>
      <c r="W103" s="6"/>
      <c r="X103" s="6"/>
      <c r="Y103" s="91"/>
      <c r="Z103" s="91"/>
      <c r="AA103" s="25"/>
    </row>
    <row r="104" spans="1:27" s="2" customFormat="1" ht="38.25" customHeight="1" x14ac:dyDescent="0.2">
      <c r="A104" s="38" t="s">
        <v>79</v>
      </c>
      <c r="B104" s="8" t="s">
        <v>76</v>
      </c>
      <c r="C104" s="9" t="s">
        <v>395</v>
      </c>
      <c r="D104" s="8" t="s">
        <v>386</v>
      </c>
      <c r="E104" s="8" t="s">
        <v>208</v>
      </c>
      <c r="F104" s="15" t="s">
        <v>3</v>
      </c>
      <c r="G104" s="15" t="s">
        <v>186</v>
      </c>
      <c r="H104" s="15">
        <v>363</v>
      </c>
      <c r="I104" s="6">
        <v>2</v>
      </c>
      <c r="J104" s="7">
        <v>31656</v>
      </c>
      <c r="K104" s="16" t="s">
        <v>202</v>
      </c>
      <c r="L104" s="6">
        <v>16</v>
      </c>
      <c r="M104" s="6">
        <v>1</v>
      </c>
      <c r="N104" s="8" t="s">
        <v>530</v>
      </c>
      <c r="O104" s="8" t="s">
        <v>211</v>
      </c>
      <c r="P104" s="6" t="s">
        <v>224</v>
      </c>
      <c r="Q104" s="31" t="s">
        <v>860</v>
      </c>
      <c r="R104" s="9" t="s">
        <v>435</v>
      </c>
      <c r="S104" s="6"/>
      <c r="T104" s="6">
        <v>35</v>
      </c>
      <c r="U104" s="43">
        <f>[98]Tabelle1!$L$3</f>
        <v>160</v>
      </c>
      <c r="V104" s="46">
        <f>[98]Tabelle1!$L$4</f>
        <v>0</v>
      </c>
      <c r="W104" s="6"/>
      <c r="X104" s="6"/>
      <c r="Y104" s="91"/>
      <c r="Z104" s="91"/>
      <c r="AA104" s="25"/>
    </row>
    <row r="105" spans="1:27" s="2" customFormat="1" ht="38.25" customHeight="1" x14ac:dyDescent="0.2">
      <c r="A105" s="38" t="s">
        <v>82</v>
      </c>
      <c r="B105" s="8" t="s">
        <v>76</v>
      </c>
      <c r="C105" s="9" t="s">
        <v>338</v>
      </c>
      <c r="D105" s="8" t="s">
        <v>345</v>
      </c>
      <c r="E105" s="8" t="s">
        <v>208</v>
      </c>
      <c r="F105" s="6" t="s">
        <v>57</v>
      </c>
      <c r="G105" s="6" t="s">
        <v>450</v>
      </c>
      <c r="H105" s="6">
        <v>359</v>
      </c>
      <c r="I105" s="6">
        <v>1</v>
      </c>
      <c r="J105" s="7">
        <v>31585</v>
      </c>
      <c r="K105" s="16" t="s">
        <v>444</v>
      </c>
      <c r="L105" s="6">
        <v>16</v>
      </c>
      <c r="M105" s="6">
        <v>0</v>
      </c>
      <c r="N105" s="8" t="s">
        <v>528</v>
      </c>
      <c r="O105" s="8" t="s">
        <v>211</v>
      </c>
      <c r="P105" s="6" t="s">
        <v>224</v>
      </c>
      <c r="Q105" s="31" t="s">
        <v>860</v>
      </c>
      <c r="R105" s="9" t="s">
        <v>474</v>
      </c>
      <c r="S105" s="6"/>
      <c r="T105" s="6">
        <v>9</v>
      </c>
      <c r="U105" s="43">
        <f>[99]Tabelle1!$L$3</f>
        <v>20</v>
      </c>
      <c r="V105" s="46">
        <f>[99]Tabelle1!$L$4</f>
        <v>0</v>
      </c>
      <c r="W105" s="6"/>
      <c r="X105" s="6"/>
      <c r="Y105" s="91"/>
      <c r="Z105" s="91"/>
      <c r="AA105" s="25"/>
    </row>
    <row r="106" spans="1:27" s="2" customFormat="1" ht="38.25" customHeight="1" x14ac:dyDescent="0.2">
      <c r="A106" s="38" t="s">
        <v>83</v>
      </c>
      <c r="B106" s="78" t="s">
        <v>416</v>
      </c>
      <c r="C106" s="9" t="s">
        <v>406</v>
      </c>
      <c r="D106" s="8">
        <v>60</v>
      </c>
      <c r="E106" s="8" t="s">
        <v>330</v>
      </c>
      <c r="F106" s="6" t="s">
        <v>53</v>
      </c>
      <c r="G106" s="6" t="s">
        <v>243</v>
      </c>
      <c r="H106" s="6">
        <v>371</v>
      </c>
      <c r="I106" s="6">
        <v>5</v>
      </c>
      <c r="J106" s="6">
        <v>46945</v>
      </c>
      <c r="K106" s="34" t="s">
        <v>515</v>
      </c>
      <c r="L106" s="6">
        <v>8</v>
      </c>
      <c r="M106" s="6">
        <v>8</v>
      </c>
      <c r="N106" s="6" t="s">
        <v>58</v>
      </c>
      <c r="O106" s="8" t="s">
        <v>211</v>
      </c>
      <c r="P106" s="6" t="s">
        <v>417</v>
      </c>
      <c r="Q106" s="31" t="s">
        <v>860</v>
      </c>
      <c r="R106" s="27"/>
      <c r="S106" s="6"/>
      <c r="T106" s="6">
        <v>1</v>
      </c>
      <c r="U106" s="43">
        <f>[100]Tabelle1!$L$3</f>
        <v>0</v>
      </c>
      <c r="V106" s="46">
        <f>[100]Tabelle1!$L$4</f>
        <v>46</v>
      </c>
      <c r="W106" s="6"/>
      <c r="X106" s="6"/>
      <c r="Y106" s="91" t="s">
        <v>689</v>
      </c>
      <c r="Z106" s="91" t="s">
        <v>589</v>
      </c>
      <c r="AA106" s="25"/>
    </row>
    <row r="107" spans="1:27" s="2" customFormat="1" ht="38.25" customHeight="1" x14ac:dyDescent="0.2">
      <c r="A107" s="38" t="s">
        <v>85</v>
      </c>
      <c r="B107" s="8" t="s">
        <v>76</v>
      </c>
      <c r="C107" s="9" t="s">
        <v>395</v>
      </c>
      <c r="D107" s="8">
        <v>190</v>
      </c>
      <c r="E107" s="8" t="s">
        <v>208</v>
      </c>
      <c r="F107" s="15" t="s">
        <v>3</v>
      </c>
      <c r="G107" s="15" t="s">
        <v>541</v>
      </c>
      <c r="H107" s="6">
        <v>297</v>
      </c>
      <c r="I107" s="6">
        <v>2</v>
      </c>
      <c r="J107" s="6">
        <v>31655</v>
      </c>
      <c r="K107" s="16" t="s">
        <v>328</v>
      </c>
      <c r="L107" s="6">
        <v>16</v>
      </c>
      <c r="M107" s="6">
        <v>0</v>
      </c>
      <c r="N107" s="8" t="s">
        <v>529</v>
      </c>
      <c r="O107" s="8" t="s">
        <v>212</v>
      </c>
      <c r="P107" s="6" t="s">
        <v>224</v>
      </c>
      <c r="Q107" s="31" t="s">
        <v>860</v>
      </c>
      <c r="R107" s="9" t="s">
        <v>435</v>
      </c>
      <c r="S107" s="6"/>
      <c r="T107" s="6">
        <v>58</v>
      </c>
      <c r="U107" s="43">
        <f>[101]Tabelle1!$L$3</f>
        <v>185</v>
      </c>
      <c r="V107" s="46">
        <f>[101]Tabelle1!$L$4</f>
        <v>0</v>
      </c>
      <c r="W107" s="6"/>
      <c r="X107" s="6"/>
      <c r="Y107" s="91"/>
      <c r="Z107" s="91" t="s">
        <v>587</v>
      </c>
      <c r="AA107" s="25"/>
    </row>
    <row r="108" spans="1:27" s="2" customFormat="1" ht="38.25" customHeight="1" x14ac:dyDescent="0.2">
      <c r="A108" s="38" t="s">
        <v>86</v>
      </c>
      <c r="B108" s="53" t="s">
        <v>416</v>
      </c>
      <c r="C108" s="9" t="s">
        <v>442</v>
      </c>
      <c r="D108" s="8">
        <v>190</v>
      </c>
      <c r="E108" s="8" t="s">
        <v>208</v>
      </c>
      <c r="F108" s="15" t="s">
        <v>3</v>
      </c>
      <c r="G108" s="15" t="s">
        <v>647</v>
      </c>
      <c r="H108" s="6">
        <v>112</v>
      </c>
      <c r="I108" s="6">
        <v>1</v>
      </c>
      <c r="J108" s="6">
        <v>47119</v>
      </c>
      <c r="K108" s="16" t="s">
        <v>323</v>
      </c>
      <c r="L108" s="6">
        <v>16</v>
      </c>
      <c r="M108" s="6">
        <v>0</v>
      </c>
      <c r="N108" s="8" t="s">
        <v>213</v>
      </c>
      <c r="O108" s="8" t="s">
        <v>212</v>
      </c>
      <c r="P108" s="6" t="s">
        <v>224</v>
      </c>
      <c r="Q108" s="31" t="s">
        <v>860</v>
      </c>
      <c r="R108" s="31" t="s">
        <v>435</v>
      </c>
      <c r="S108" s="6"/>
      <c r="T108" s="6">
        <v>51</v>
      </c>
      <c r="U108" s="43">
        <f>[102]Tabelle1!$L$3</f>
        <v>784</v>
      </c>
      <c r="V108" s="46">
        <f>[102]Tabelle1!$L$4</f>
        <v>0</v>
      </c>
      <c r="W108" s="6"/>
      <c r="X108" s="6"/>
      <c r="Y108" s="91" t="s">
        <v>684</v>
      </c>
      <c r="Z108" s="91"/>
      <c r="AA108" s="86" t="s">
        <v>557</v>
      </c>
    </row>
    <row r="109" spans="1:27" s="2" customFormat="1" ht="38.25" customHeight="1" x14ac:dyDescent="0.2">
      <c r="A109" s="109" t="s">
        <v>89</v>
      </c>
      <c r="B109" s="110" t="s">
        <v>76</v>
      </c>
      <c r="C109" s="111" t="s">
        <v>391</v>
      </c>
      <c r="D109" s="110" t="s">
        <v>195</v>
      </c>
      <c r="E109" s="110" t="s">
        <v>222</v>
      </c>
      <c r="F109" s="112" t="s">
        <v>57</v>
      </c>
      <c r="G109" s="112" t="s">
        <v>272</v>
      </c>
      <c r="H109" s="112">
        <v>81</v>
      </c>
      <c r="I109" s="112">
        <v>1</v>
      </c>
      <c r="J109" s="123">
        <v>33978</v>
      </c>
      <c r="K109" s="111" t="s">
        <v>210</v>
      </c>
      <c r="L109" s="112">
        <v>16</v>
      </c>
      <c r="M109" s="112">
        <v>14</v>
      </c>
      <c r="N109" s="112"/>
      <c r="O109" s="110" t="s">
        <v>211</v>
      </c>
      <c r="P109" s="112" t="s">
        <v>224</v>
      </c>
      <c r="Q109" s="111" t="s">
        <v>649</v>
      </c>
      <c r="R109" s="111" t="s">
        <v>474</v>
      </c>
      <c r="S109" s="112"/>
      <c r="T109" s="112">
        <v>3</v>
      </c>
      <c r="U109" s="112">
        <f>[103]Tabelle1!$L$3</f>
        <v>9</v>
      </c>
      <c r="V109" s="112">
        <f>[103]Tabelle1!$L$4</f>
        <v>0</v>
      </c>
      <c r="W109" s="112"/>
      <c r="X109" s="112"/>
      <c r="Y109" s="114"/>
      <c r="Z109" s="114"/>
      <c r="AA109" s="116"/>
    </row>
    <row r="110" spans="1:27" s="2" customFormat="1" ht="38.25" customHeight="1" x14ac:dyDescent="0.2">
      <c r="A110" s="38" t="s">
        <v>88</v>
      </c>
      <c r="B110" s="8" t="s">
        <v>76</v>
      </c>
      <c r="C110" s="9" t="s">
        <v>392</v>
      </c>
      <c r="D110" s="8">
        <v>190</v>
      </c>
      <c r="E110" s="8" t="s">
        <v>330</v>
      </c>
      <c r="F110" s="15" t="s">
        <v>3</v>
      </c>
      <c r="G110" s="15" t="s">
        <v>247</v>
      </c>
      <c r="H110" s="6">
        <v>142</v>
      </c>
      <c r="I110" s="6">
        <v>1</v>
      </c>
      <c r="J110" s="13">
        <v>27525</v>
      </c>
      <c r="K110" s="16" t="s">
        <v>209</v>
      </c>
      <c r="L110" s="6">
        <v>16</v>
      </c>
      <c r="M110" s="6">
        <v>0</v>
      </c>
      <c r="N110" s="6" t="s">
        <v>213</v>
      </c>
      <c r="O110" s="8" t="s">
        <v>211</v>
      </c>
      <c r="P110" s="6">
        <v>2000</v>
      </c>
      <c r="Q110" s="31" t="s">
        <v>860</v>
      </c>
      <c r="R110" s="9" t="s">
        <v>435</v>
      </c>
      <c r="S110" s="6"/>
      <c r="T110" s="6">
        <v>43</v>
      </c>
      <c r="U110" s="43">
        <f>[104]Tabelle1!$L$3</f>
        <v>320</v>
      </c>
      <c r="V110" s="46">
        <f>[104]Tabelle1!$L$4</f>
        <v>0</v>
      </c>
      <c r="W110" s="6"/>
      <c r="X110" s="6"/>
      <c r="Y110" s="91"/>
      <c r="Z110" s="91" t="s">
        <v>613</v>
      </c>
      <c r="AA110" s="25"/>
    </row>
    <row r="111" spans="1:27" s="2" customFormat="1" ht="38.25" customHeight="1" x14ac:dyDescent="0.2">
      <c r="A111" s="38" t="s">
        <v>90</v>
      </c>
      <c r="B111" s="8" t="s">
        <v>76</v>
      </c>
      <c r="C111" s="9" t="s">
        <v>440</v>
      </c>
      <c r="D111" s="8">
        <v>150</v>
      </c>
      <c r="E111" s="8" t="s">
        <v>441</v>
      </c>
      <c r="F111" s="15" t="s">
        <v>176</v>
      </c>
      <c r="G111" s="15" t="s">
        <v>264</v>
      </c>
      <c r="H111" s="6">
        <v>121</v>
      </c>
      <c r="I111" s="6">
        <v>2</v>
      </c>
      <c r="J111" s="6">
        <v>30547</v>
      </c>
      <c r="K111" s="16" t="s">
        <v>210</v>
      </c>
      <c r="L111" s="6">
        <v>16</v>
      </c>
      <c r="M111" s="6">
        <v>0</v>
      </c>
      <c r="N111" s="6" t="s">
        <v>213</v>
      </c>
      <c r="O111" s="8" t="s">
        <v>211</v>
      </c>
      <c r="P111" s="6" t="s">
        <v>224</v>
      </c>
      <c r="Q111" s="31" t="s">
        <v>649</v>
      </c>
      <c r="R111" s="9" t="s">
        <v>435</v>
      </c>
      <c r="S111" s="6"/>
      <c r="T111" s="6">
        <v>6</v>
      </c>
      <c r="U111" s="43">
        <f>[105]Tabelle1!$L$3</f>
        <v>60</v>
      </c>
      <c r="V111" s="46">
        <f>[105]Tabelle1!$L$4</f>
        <v>0</v>
      </c>
      <c r="W111" s="6"/>
      <c r="X111" s="6"/>
      <c r="Y111" s="91"/>
      <c r="Z111" s="91" t="s">
        <v>585</v>
      </c>
      <c r="AA111" s="25"/>
    </row>
    <row r="112" spans="1:27" s="2" customFormat="1" ht="38.25" customHeight="1" x14ac:dyDescent="0.2">
      <c r="A112" s="38" t="s">
        <v>92</v>
      </c>
      <c r="B112" s="8" t="s">
        <v>76</v>
      </c>
      <c r="C112" s="9" t="s">
        <v>429</v>
      </c>
      <c r="D112" s="8">
        <v>30</v>
      </c>
      <c r="E112" s="8" t="s">
        <v>208</v>
      </c>
      <c r="F112" s="6" t="s">
        <v>57</v>
      </c>
      <c r="G112" s="6" t="s">
        <v>59</v>
      </c>
      <c r="H112" s="6">
        <v>5</v>
      </c>
      <c r="I112" s="6">
        <v>1</v>
      </c>
      <c r="J112" s="7">
        <v>29735</v>
      </c>
      <c r="K112" s="16" t="s">
        <v>210</v>
      </c>
      <c r="L112" s="6">
        <v>16</v>
      </c>
      <c r="M112" s="6">
        <v>2</v>
      </c>
      <c r="N112" s="6"/>
      <c r="O112" s="8" t="s">
        <v>212</v>
      </c>
      <c r="P112" s="6" t="s">
        <v>224</v>
      </c>
      <c r="Q112" s="31" t="s">
        <v>860</v>
      </c>
      <c r="R112" s="9" t="s">
        <v>474</v>
      </c>
      <c r="S112" s="6"/>
      <c r="T112" s="6">
        <v>23</v>
      </c>
      <c r="U112" s="43">
        <f>[106]Tabelle1!$L$3</f>
        <v>73</v>
      </c>
      <c r="V112" s="46">
        <f>[106]Tabelle1!$L$4</f>
        <v>0</v>
      </c>
      <c r="W112" s="6"/>
      <c r="X112" s="6"/>
      <c r="Y112" s="91"/>
      <c r="Z112" s="91"/>
      <c r="AA112" s="25"/>
    </row>
    <row r="113" spans="1:27" s="2" customFormat="1" ht="38.25" customHeight="1" x14ac:dyDescent="0.2">
      <c r="A113" s="38" t="s">
        <v>93</v>
      </c>
      <c r="B113" s="8" t="s">
        <v>76</v>
      </c>
      <c r="C113" s="9" t="s">
        <v>356</v>
      </c>
      <c r="D113" s="8">
        <v>140</v>
      </c>
      <c r="E113" s="8" t="s">
        <v>208</v>
      </c>
      <c r="F113" s="15" t="s">
        <v>3</v>
      </c>
      <c r="G113" s="15" t="s">
        <v>284</v>
      </c>
      <c r="H113" s="6">
        <v>159</v>
      </c>
      <c r="I113" s="6">
        <v>1</v>
      </c>
      <c r="J113" s="6">
        <v>33976</v>
      </c>
      <c r="K113" s="16" t="s">
        <v>210</v>
      </c>
      <c r="L113" s="6">
        <v>16</v>
      </c>
      <c r="M113" s="6">
        <v>9</v>
      </c>
      <c r="N113" s="6"/>
      <c r="O113" s="8" t="s">
        <v>211</v>
      </c>
      <c r="P113" s="6" t="s">
        <v>224</v>
      </c>
      <c r="Q113" s="31" t="s">
        <v>860</v>
      </c>
      <c r="R113" s="9" t="s">
        <v>435</v>
      </c>
      <c r="S113" s="6"/>
      <c r="T113" s="6">
        <v>3</v>
      </c>
      <c r="U113" s="43">
        <f>[107]Tabelle1!$L$3</f>
        <v>12</v>
      </c>
      <c r="V113" s="46">
        <f>[107]Tabelle1!$L$4</f>
        <v>16</v>
      </c>
      <c r="W113" s="6"/>
      <c r="X113" s="6"/>
      <c r="Y113" s="91"/>
      <c r="Z113" s="91"/>
      <c r="AA113" s="25"/>
    </row>
    <row r="114" spans="1:27" s="2" customFormat="1" ht="38.25" customHeight="1" x14ac:dyDescent="0.2">
      <c r="A114" s="38" t="s">
        <v>94</v>
      </c>
      <c r="B114" s="8" t="s">
        <v>76</v>
      </c>
      <c r="C114" s="9" t="s">
        <v>356</v>
      </c>
      <c r="D114" s="8">
        <v>220</v>
      </c>
      <c r="E114" s="8" t="s">
        <v>332</v>
      </c>
      <c r="F114" s="6" t="s">
        <v>3</v>
      </c>
      <c r="G114" s="6" t="s">
        <v>150</v>
      </c>
      <c r="H114" s="6">
        <v>373</v>
      </c>
      <c r="I114" s="6">
        <v>1</v>
      </c>
      <c r="J114" s="7">
        <v>33979</v>
      </c>
      <c r="K114" s="16" t="s">
        <v>210</v>
      </c>
      <c r="L114" s="6">
        <v>16</v>
      </c>
      <c r="M114" s="6">
        <v>14</v>
      </c>
      <c r="N114" s="6"/>
      <c r="O114" s="8" t="s">
        <v>211</v>
      </c>
      <c r="P114" s="6" t="s">
        <v>224</v>
      </c>
      <c r="Q114" s="31" t="s">
        <v>649</v>
      </c>
      <c r="R114" s="9" t="s">
        <v>435</v>
      </c>
      <c r="S114" s="6"/>
      <c r="T114" s="6">
        <v>3</v>
      </c>
      <c r="U114" s="43">
        <f>[108]Tabelle1!$L$3</f>
        <v>145</v>
      </c>
      <c r="V114" s="80">
        <f>[108]Tabelle1!$L$4</f>
        <v>45</v>
      </c>
      <c r="W114" s="6"/>
      <c r="X114" s="6"/>
      <c r="Y114" s="91"/>
      <c r="Z114" s="91"/>
      <c r="AA114" s="25"/>
    </row>
    <row r="115" spans="1:27" s="2" customFormat="1" ht="38.25" customHeight="1" x14ac:dyDescent="0.2">
      <c r="A115" s="38" t="s">
        <v>95</v>
      </c>
      <c r="B115" s="8" t="s">
        <v>76</v>
      </c>
      <c r="C115" s="9" t="s">
        <v>335</v>
      </c>
      <c r="D115" s="8" t="s">
        <v>195</v>
      </c>
      <c r="E115" s="8" t="s">
        <v>208</v>
      </c>
      <c r="F115" s="15" t="s">
        <v>3</v>
      </c>
      <c r="G115" s="15" t="s">
        <v>255</v>
      </c>
      <c r="H115" s="15">
        <v>377</v>
      </c>
      <c r="I115" s="6">
        <v>2</v>
      </c>
      <c r="J115" s="7">
        <v>34774</v>
      </c>
      <c r="K115" s="16" t="s">
        <v>210</v>
      </c>
      <c r="L115" s="6">
        <v>16</v>
      </c>
      <c r="M115" s="6">
        <v>8</v>
      </c>
      <c r="N115" s="6"/>
      <c r="O115" s="8" t="s">
        <v>211</v>
      </c>
      <c r="P115" s="6" t="s">
        <v>224</v>
      </c>
      <c r="Q115" s="31" t="s">
        <v>860</v>
      </c>
      <c r="R115" s="6"/>
      <c r="S115" s="6"/>
      <c r="T115" s="6">
        <v>8</v>
      </c>
      <c r="U115" s="43">
        <f>[109]Tabelle1!$L$3</f>
        <v>0</v>
      </c>
      <c r="V115" s="80">
        <f>[109]Tabelle1!$L$4</f>
        <v>27</v>
      </c>
      <c r="W115" s="6"/>
      <c r="X115" s="6"/>
      <c r="Y115" s="91"/>
      <c r="Z115" s="91"/>
      <c r="AA115" s="25"/>
    </row>
    <row r="116" spans="1:27" s="2" customFormat="1" ht="38.25" customHeight="1" x14ac:dyDescent="0.2">
      <c r="A116" s="38" t="s">
        <v>96</v>
      </c>
      <c r="B116" s="8" t="s">
        <v>76</v>
      </c>
      <c r="C116" s="9" t="s">
        <v>430</v>
      </c>
      <c r="D116" s="8" t="s">
        <v>431</v>
      </c>
      <c r="E116" s="8" t="s">
        <v>332</v>
      </c>
      <c r="F116" s="15" t="s">
        <v>3</v>
      </c>
      <c r="G116" s="15" t="s">
        <v>632</v>
      </c>
      <c r="H116" s="6">
        <v>276</v>
      </c>
      <c r="I116" s="6">
        <v>1</v>
      </c>
      <c r="J116" s="6">
        <v>36105</v>
      </c>
      <c r="K116" s="16" t="s">
        <v>210</v>
      </c>
      <c r="L116" s="6" t="s">
        <v>58</v>
      </c>
      <c r="M116" s="6"/>
      <c r="N116" s="6" t="s">
        <v>329</v>
      </c>
      <c r="O116" s="8" t="s">
        <v>211</v>
      </c>
      <c r="P116" s="6" t="s">
        <v>224</v>
      </c>
      <c r="Q116" s="31" t="s">
        <v>860</v>
      </c>
      <c r="R116" s="9" t="s">
        <v>435</v>
      </c>
      <c r="S116" s="6"/>
      <c r="T116" s="6">
        <v>25</v>
      </c>
      <c r="U116" s="43">
        <f>[110]Tabelle1!$L$3</f>
        <v>0</v>
      </c>
      <c r="V116" s="46">
        <f>[110]Tabelle1!$L$4</f>
        <v>23</v>
      </c>
      <c r="W116" s="6"/>
      <c r="X116" s="6"/>
      <c r="Y116" s="91"/>
      <c r="Z116" s="91"/>
      <c r="AA116" s="25"/>
    </row>
    <row r="117" spans="1:27" s="2" customFormat="1" ht="38.25" customHeight="1" x14ac:dyDescent="0.2">
      <c r="A117" s="38" t="s">
        <v>97</v>
      </c>
      <c r="B117" s="8" t="s">
        <v>76</v>
      </c>
      <c r="C117" s="9" t="s">
        <v>362</v>
      </c>
      <c r="D117" s="8">
        <v>10</v>
      </c>
      <c r="E117" s="8" t="s">
        <v>330</v>
      </c>
      <c r="F117" s="6" t="s">
        <v>53</v>
      </c>
      <c r="G117" s="6" t="s">
        <v>241</v>
      </c>
      <c r="H117" s="6">
        <v>349</v>
      </c>
      <c r="I117" s="6">
        <v>5</v>
      </c>
      <c r="J117" s="11">
        <v>34773</v>
      </c>
      <c r="K117" s="16" t="s">
        <v>210</v>
      </c>
      <c r="L117" s="6">
        <v>16</v>
      </c>
      <c r="M117" s="6">
        <v>6</v>
      </c>
      <c r="N117" s="10"/>
      <c r="O117" s="8" t="s">
        <v>211</v>
      </c>
      <c r="P117" s="6" t="s">
        <v>224</v>
      </c>
      <c r="Q117" s="31" t="s">
        <v>860</v>
      </c>
      <c r="R117" s="9" t="s">
        <v>470</v>
      </c>
      <c r="S117" s="6"/>
      <c r="T117" s="6">
        <v>2</v>
      </c>
      <c r="U117" s="43">
        <f>[111]Tabelle1!$L$3</f>
        <v>24</v>
      </c>
      <c r="V117" s="46">
        <f>[111]Tabelle1!$L$4</f>
        <v>0</v>
      </c>
      <c r="W117" s="6"/>
      <c r="X117" s="6"/>
      <c r="Y117" s="91"/>
      <c r="Z117" s="91" t="s">
        <v>614</v>
      </c>
      <c r="AA117" s="25"/>
    </row>
    <row r="118" spans="1:27" s="2" customFormat="1" ht="38.25" customHeight="1" x14ac:dyDescent="0.2">
      <c r="A118" s="38" t="s">
        <v>98</v>
      </c>
      <c r="B118" s="8" t="s">
        <v>76</v>
      </c>
      <c r="C118" s="9" t="s">
        <v>362</v>
      </c>
      <c r="D118" s="8">
        <v>30</v>
      </c>
      <c r="E118" s="8" t="s">
        <v>330</v>
      </c>
      <c r="F118" s="6" t="s">
        <v>53</v>
      </c>
      <c r="G118" s="6" t="s">
        <v>244</v>
      </c>
      <c r="H118" s="6">
        <v>141</v>
      </c>
      <c r="I118" s="6">
        <v>5</v>
      </c>
      <c r="J118" s="7">
        <v>29674</v>
      </c>
      <c r="K118" s="16" t="s">
        <v>210</v>
      </c>
      <c r="L118" s="6">
        <v>16</v>
      </c>
      <c r="M118" s="6">
        <v>13</v>
      </c>
      <c r="N118" s="6" t="s">
        <v>213</v>
      </c>
      <c r="O118" s="8" t="s">
        <v>211</v>
      </c>
      <c r="P118" s="6" t="s">
        <v>224</v>
      </c>
      <c r="Q118" s="31" t="s">
        <v>860</v>
      </c>
      <c r="R118" s="9" t="s">
        <v>470</v>
      </c>
      <c r="S118" s="6"/>
      <c r="T118" s="6">
        <v>2</v>
      </c>
      <c r="U118" s="43">
        <f>[112]Tabelle1!$L$3</f>
        <v>32</v>
      </c>
      <c r="V118" s="46">
        <f>[112]Tabelle1!$L$4</f>
        <v>128</v>
      </c>
      <c r="W118" s="6"/>
      <c r="X118" s="6"/>
      <c r="Y118" s="91"/>
      <c r="Z118" s="91"/>
      <c r="AA118" s="25"/>
    </row>
    <row r="119" spans="1:27" s="2" customFormat="1" ht="38.25" customHeight="1" x14ac:dyDescent="0.2">
      <c r="A119" s="38" t="s">
        <v>100</v>
      </c>
      <c r="B119" s="53" t="s">
        <v>416</v>
      </c>
      <c r="C119" s="9" t="s">
        <v>316</v>
      </c>
      <c r="D119" s="8" t="s">
        <v>345</v>
      </c>
      <c r="E119" s="8" t="s">
        <v>208</v>
      </c>
      <c r="F119" s="6" t="s">
        <v>57</v>
      </c>
      <c r="G119" s="6" t="s">
        <v>279</v>
      </c>
      <c r="H119" s="6">
        <v>41</v>
      </c>
      <c r="I119" s="6">
        <v>1</v>
      </c>
      <c r="J119" s="69">
        <v>46547</v>
      </c>
      <c r="K119" s="16" t="s">
        <v>477</v>
      </c>
      <c r="L119" s="19">
        <v>8</v>
      </c>
      <c r="M119" s="19">
        <v>0</v>
      </c>
      <c r="N119" s="6" t="s">
        <v>213</v>
      </c>
      <c r="O119" s="8" t="s">
        <v>212</v>
      </c>
      <c r="P119" s="6" t="s">
        <v>224</v>
      </c>
      <c r="Q119" s="31" t="s">
        <v>860</v>
      </c>
      <c r="R119" s="31" t="s">
        <v>474</v>
      </c>
      <c r="S119" s="6"/>
      <c r="T119" s="6">
        <v>9</v>
      </c>
      <c r="U119" s="43">
        <f>[113]Tabelle1!$L$3</f>
        <v>54</v>
      </c>
      <c r="V119" s="46">
        <f>[113]Tabelle1!$L$4</f>
        <v>0</v>
      </c>
      <c r="W119" s="6"/>
      <c r="X119" s="6"/>
      <c r="Y119" s="91" t="s">
        <v>691</v>
      </c>
      <c r="Z119" s="91"/>
      <c r="AA119" s="25"/>
    </row>
    <row r="120" spans="1:27" s="2" customFormat="1" ht="38.25" customHeight="1" x14ac:dyDescent="0.2">
      <c r="A120" s="38" t="s">
        <v>99</v>
      </c>
      <c r="B120" s="8" t="s">
        <v>76</v>
      </c>
      <c r="C120" s="9" t="s">
        <v>335</v>
      </c>
      <c r="D120" s="8">
        <v>140</v>
      </c>
      <c r="E120" s="8" t="s">
        <v>215</v>
      </c>
      <c r="F120" s="15" t="s">
        <v>3</v>
      </c>
      <c r="G120" s="15" t="s">
        <v>258</v>
      </c>
      <c r="H120" s="6">
        <v>28</v>
      </c>
      <c r="I120" s="6">
        <v>2</v>
      </c>
      <c r="J120" s="6">
        <v>36132</v>
      </c>
      <c r="K120" s="16" t="s">
        <v>210</v>
      </c>
      <c r="L120" s="6">
        <v>16</v>
      </c>
      <c r="M120" s="6">
        <v>1</v>
      </c>
      <c r="N120" s="6"/>
      <c r="O120" s="8" t="s">
        <v>211</v>
      </c>
      <c r="P120" s="6" t="s">
        <v>224</v>
      </c>
      <c r="Q120" s="31" t="s">
        <v>860</v>
      </c>
      <c r="R120" s="9" t="s">
        <v>435</v>
      </c>
      <c r="S120" s="6"/>
      <c r="T120" s="6">
        <v>22</v>
      </c>
      <c r="U120" s="43">
        <f>[114]Tabelle1!$L$3</f>
        <v>72</v>
      </c>
      <c r="V120" s="46">
        <f>[114]Tabelle1!$L$4</f>
        <v>0</v>
      </c>
      <c r="W120" s="6"/>
      <c r="X120" s="6"/>
      <c r="Y120" s="91"/>
      <c r="Z120" s="91"/>
      <c r="AA120" s="25"/>
    </row>
    <row r="121" spans="1:27" s="2" customFormat="1" ht="38.25" customHeight="1" x14ac:dyDescent="0.2">
      <c r="A121" s="38" t="s">
        <v>101</v>
      </c>
      <c r="B121" s="8" t="s">
        <v>76</v>
      </c>
      <c r="C121" s="9" t="s">
        <v>432</v>
      </c>
      <c r="D121" s="8" t="s">
        <v>195</v>
      </c>
      <c r="E121" s="8" t="s">
        <v>208</v>
      </c>
      <c r="F121" s="6" t="s">
        <v>57</v>
      </c>
      <c r="G121" s="6" t="s">
        <v>282</v>
      </c>
      <c r="H121" s="6">
        <v>69</v>
      </c>
      <c r="I121" s="6">
        <v>1</v>
      </c>
      <c r="J121" s="7">
        <v>36140</v>
      </c>
      <c r="K121" s="16" t="s">
        <v>210</v>
      </c>
      <c r="L121" s="6">
        <v>16</v>
      </c>
      <c r="M121" s="6">
        <v>12</v>
      </c>
      <c r="N121" s="6"/>
      <c r="O121" s="8" t="s">
        <v>211</v>
      </c>
      <c r="P121" s="6" t="s">
        <v>224</v>
      </c>
      <c r="Q121" s="31" t="s">
        <v>860</v>
      </c>
      <c r="R121" s="9" t="s">
        <v>474</v>
      </c>
      <c r="S121" s="6"/>
      <c r="T121" s="6">
        <v>1</v>
      </c>
      <c r="U121" s="43">
        <f>[115]Tabelle1!$L$3</f>
        <v>60</v>
      </c>
      <c r="V121" s="46">
        <f>[115]Tabelle1!$L$4</f>
        <v>6</v>
      </c>
      <c r="W121" s="6"/>
      <c r="X121" s="6"/>
      <c r="Y121" s="91"/>
      <c r="Z121" s="91"/>
      <c r="AA121" s="25"/>
    </row>
    <row r="122" spans="1:27" s="2" customFormat="1" ht="38.25" customHeight="1" x14ac:dyDescent="0.2">
      <c r="A122" s="38" t="s">
        <v>143</v>
      </c>
      <c r="B122" s="8" t="s">
        <v>76</v>
      </c>
      <c r="C122" s="18" t="s">
        <v>367</v>
      </c>
      <c r="D122" s="9" t="s">
        <v>195</v>
      </c>
      <c r="E122" s="8" t="s">
        <v>215</v>
      </c>
      <c r="F122" s="6" t="s">
        <v>57</v>
      </c>
      <c r="G122" s="6" t="s">
        <v>144</v>
      </c>
      <c r="H122" s="6">
        <v>4</v>
      </c>
      <c r="I122" s="6">
        <v>1</v>
      </c>
      <c r="J122" s="7">
        <v>34978</v>
      </c>
      <c r="K122" s="16" t="s">
        <v>507</v>
      </c>
      <c r="L122" s="6">
        <v>32</v>
      </c>
      <c r="M122" s="6">
        <v>24</v>
      </c>
      <c r="N122" s="6"/>
      <c r="O122" s="6" t="s">
        <v>211</v>
      </c>
      <c r="P122" s="6" t="s">
        <v>224</v>
      </c>
      <c r="Q122" s="31" t="s">
        <v>860</v>
      </c>
      <c r="R122" s="9" t="s">
        <v>465</v>
      </c>
      <c r="S122" s="6"/>
      <c r="T122" s="6">
        <v>9</v>
      </c>
      <c r="U122" s="43">
        <f>[116]Tabelle1!$L$3</f>
        <v>435</v>
      </c>
      <c r="V122" s="46">
        <f>[116]Tabelle1!$L$4</f>
        <v>35</v>
      </c>
      <c r="W122" s="6"/>
      <c r="X122" s="6"/>
      <c r="Y122" s="91"/>
      <c r="Z122" s="91"/>
      <c r="AA122" s="25"/>
    </row>
    <row r="123" spans="1:27" s="2" customFormat="1" ht="38.25" customHeight="1" x14ac:dyDescent="0.2">
      <c r="A123" s="38" t="s">
        <v>145</v>
      </c>
      <c r="B123" s="53" t="s">
        <v>416</v>
      </c>
      <c r="C123" s="9" t="s">
        <v>368</v>
      </c>
      <c r="D123" s="9" t="s">
        <v>195</v>
      </c>
      <c r="E123" s="8" t="s">
        <v>215</v>
      </c>
      <c r="F123" s="6" t="s">
        <v>57</v>
      </c>
      <c r="G123" s="6" t="s">
        <v>144</v>
      </c>
      <c r="H123" s="6">
        <v>3</v>
      </c>
      <c r="I123" s="6">
        <v>1</v>
      </c>
      <c r="J123" s="66">
        <v>41902</v>
      </c>
      <c r="K123" s="16" t="s">
        <v>515</v>
      </c>
      <c r="L123" s="6">
        <v>16</v>
      </c>
      <c r="M123" s="6">
        <v>14</v>
      </c>
      <c r="N123" s="21"/>
      <c r="O123" s="6" t="s">
        <v>211</v>
      </c>
      <c r="P123" s="6" t="s">
        <v>417</v>
      </c>
      <c r="Q123" s="31" t="s">
        <v>860</v>
      </c>
      <c r="R123" s="31" t="s">
        <v>474</v>
      </c>
      <c r="S123" s="6"/>
      <c r="T123" s="6">
        <v>3</v>
      </c>
      <c r="U123" s="43">
        <f>[117]Tabelle1!$L$3</f>
        <v>65</v>
      </c>
      <c r="V123" s="46">
        <f>[117]Tabelle1!$L$4</f>
        <v>30</v>
      </c>
      <c r="W123" s="6"/>
      <c r="X123" s="6"/>
      <c r="Y123" s="91"/>
      <c r="Z123" s="91" t="s">
        <v>615</v>
      </c>
      <c r="AA123" s="25"/>
    </row>
    <row r="124" spans="1:27" s="2" customFormat="1" ht="38.25" customHeight="1" x14ac:dyDescent="0.2">
      <c r="A124" s="38" t="s">
        <v>146</v>
      </c>
      <c r="B124" s="53" t="s">
        <v>416</v>
      </c>
      <c r="C124" s="9" t="s">
        <v>369</v>
      </c>
      <c r="D124" s="9" t="s">
        <v>196</v>
      </c>
      <c r="E124" s="8" t="s">
        <v>215</v>
      </c>
      <c r="F124" s="6" t="s">
        <v>3</v>
      </c>
      <c r="G124" s="6" t="s">
        <v>266</v>
      </c>
      <c r="H124" s="6">
        <v>37</v>
      </c>
      <c r="I124" s="6">
        <v>1</v>
      </c>
      <c r="J124" s="66">
        <v>41896</v>
      </c>
      <c r="K124" s="16" t="s">
        <v>515</v>
      </c>
      <c r="L124" s="6">
        <v>8</v>
      </c>
      <c r="M124" s="6">
        <v>4</v>
      </c>
      <c r="N124" s="6"/>
      <c r="O124" s="6" t="s">
        <v>211</v>
      </c>
      <c r="P124" s="6" t="s">
        <v>417</v>
      </c>
      <c r="Q124" s="31" t="s">
        <v>860</v>
      </c>
      <c r="R124" s="31" t="s">
        <v>435</v>
      </c>
      <c r="S124" s="6"/>
      <c r="T124" s="6">
        <v>5</v>
      </c>
      <c r="U124" s="43">
        <f>[118]Tabelle1!$L$3</f>
        <v>73</v>
      </c>
      <c r="V124" s="46">
        <f>[118]Tabelle1!$L$4</f>
        <v>6</v>
      </c>
      <c r="W124" s="6"/>
      <c r="X124" s="6"/>
      <c r="Y124" s="91"/>
      <c r="Z124" s="91" t="s">
        <v>616</v>
      </c>
      <c r="AA124" s="25"/>
    </row>
    <row r="125" spans="1:27" s="2" customFormat="1" ht="38.25" customHeight="1" x14ac:dyDescent="0.2">
      <c r="A125" s="38" t="s">
        <v>148</v>
      </c>
      <c r="B125" s="53" t="s">
        <v>416</v>
      </c>
      <c r="C125" s="18" t="s">
        <v>370</v>
      </c>
      <c r="D125" s="9" t="s">
        <v>196</v>
      </c>
      <c r="E125" s="8" t="s">
        <v>215</v>
      </c>
      <c r="F125" s="6" t="s">
        <v>3</v>
      </c>
      <c r="G125" s="6" t="s">
        <v>147</v>
      </c>
      <c r="H125" s="6">
        <v>35</v>
      </c>
      <c r="I125" s="6">
        <v>1</v>
      </c>
      <c r="J125" s="66">
        <v>41897</v>
      </c>
      <c r="K125" s="16" t="s">
        <v>515</v>
      </c>
      <c r="L125" s="6">
        <v>8</v>
      </c>
      <c r="M125" s="6">
        <v>7</v>
      </c>
      <c r="N125" s="6"/>
      <c r="O125" s="6" t="s">
        <v>211</v>
      </c>
      <c r="P125" s="6" t="s">
        <v>417</v>
      </c>
      <c r="Q125" s="31" t="s">
        <v>860</v>
      </c>
      <c r="R125" s="31" t="s">
        <v>435</v>
      </c>
      <c r="S125" s="6"/>
      <c r="T125" s="6">
        <v>10</v>
      </c>
      <c r="U125" s="43">
        <f>[119]Tabelle1!$L$3</f>
        <v>126</v>
      </c>
      <c r="V125" s="46">
        <f>[119]Tabelle1!$L$4</f>
        <v>6</v>
      </c>
      <c r="W125" s="6"/>
      <c r="X125" s="6"/>
      <c r="Y125" s="91"/>
      <c r="Z125" s="91" t="s">
        <v>617</v>
      </c>
      <c r="AA125" s="25"/>
    </row>
    <row r="126" spans="1:27" s="2" customFormat="1" ht="38.25" customHeight="1" x14ac:dyDescent="0.2">
      <c r="A126" s="38" t="s">
        <v>149</v>
      </c>
      <c r="B126" s="8" t="s">
        <v>76</v>
      </c>
      <c r="C126" s="9" t="s">
        <v>371</v>
      </c>
      <c r="D126" s="9" t="s">
        <v>197</v>
      </c>
      <c r="E126" s="8" t="s">
        <v>215</v>
      </c>
      <c r="F126" s="6" t="s">
        <v>3</v>
      </c>
      <c r="G126" s="6" t="s">
        <v>147</v>
      </c>
      <c r="H126" s="6">
        <v>39</v>
      </c>
      <c r="I126" s="6">
        <v>1</v>
      </c>
      <c r="J126" s="7">
        <v>29794</v>
      </c>
      <c r="K126" s="16" t="s">
        <v>210</v>
      </c>
      <c r="L126" s="6">
        <v>16</v>
      </c>
      <c r="M126" s="6">
        <v>8</v>
      </c>
      <c r="N126" s="6"/>
      <c r="O126" s="6" t="s">
        <v>211</v>
      </c>
      <c r="P126" s="6" t="s">
        <v>224</v>
      </c>
      <c r="Q126" s="31" t="s">
        <v>860</v>
      </c>
      <c r="R126" s="9" t="s">
        <v>435</v>
      </c>
      <c r="S126" s="6"/>
      <c r="T126" s="6">
        <v>4</v>
      </c>
      <c r="U126" s="43">
        <f>[120]Tabelle1!$L$3</f>
        <v>7</v>
      </c>
      <c r="V126" s="46">
        <f>[120]Tabelle1!$L$4</f>
        <v>0</v>
      </c>
      <c r="W126" s="6"/>
      <c r="X126" s="6"/>
      <c r="Y126" s="91"/>
      <c r="Z126" s="91"/>
      <c r="AA126" s="57"/>
    </row>
    <row r="127" spans="1:27" s="2" customFormat="1" ht="38.25" customHeight="1" x14ac:dyDescent="0.2">
      <c r="A127" s="38" t="s">
        <v>151</v>
      </c>
      <c r="B127" s="8">
        <v>2000</v>
      </c>
      <c r="C127" s="9" t="s">
        <v>494</v>
      </c>
      <c r="D127" s="9" t="s">
        <v>496</v>
      </c>
      <c r="E127" s="8" t="s">
        <v>215</v>
      </c>
      <c r="F127" s="6" t="s">
        <v>3</v>
      </c>
      <c r="G127" s="6" t="s">
        <v>147</v>
      </c>
      <c r="H127" s="6">
        <v>58</v>
      </c>
      <c r="I127" s="6">
        <v>1</v>
      </c>
      <c r="J127" s="7">
        <v>26500</v>
      </c>
      <c r="K127" s="16" t="s">
        <v>203</v>
      </c>
      <c r="L127" s="6">
        <v>16</v>
      </c>
      <c r="M127" s="6">
        <v>6</v>
      </c>
      <c r="N127" s="6"/>
      <c r="O127" s="6" t="s">
        <v>291</v>
      </c>
      <c r="P127" s="6">
        <v>2000</v>
      </c>
      <c r="Q127" s="31" t="s">
        <v>860</v>
      </c>
      <c r="R127" s="31" t="s">
        <v>465</v>
      </c>
      <c r="S127" s="6"/>
      <c r="T127" s="6">
        <v>5</v>
      </c>
      <c r="U127" s="43">
        <f>[121]Tabelle1!$L$3</f>
        <v>9</v>
      </c>
      <c r="V127" s="46">
        <f>[121]Tabelle1!$L$4</f>
        <v>2</v>
      </c>
      <c r="W127" s="6"/>
      <c r="X127" s="6"/>
      <c r="Y127" s="91"/>
      <c r="Z127" s="91"/>
      <c r="AA127" s="25"/>
    </row>
    <row r="128" spans="1:27" s="2" customFormat="1" ht="38.25" customHeight="1" x14ac:dyDescent="0.2">
      <c r="A128" s="38" t="s">
        <v>153</v>
      </c>
      <c r="B128" s="8" t="s">
        <v>76</v>
      </c>
      <c r="C128" s="9" t="s">
        <v>372</v>
      </c>
      <c r="D128" s="9" t="s">
        <v>87</v>
      </c>
      <c r="E128" s="8" t="s">
        <v>215</v>
      </c>
      <c r="F128" s="6" t="s">
        <v>3</v>
      </c>
      <c r="G128" s="6" t="s">
        <v>154</v>
      </c>
      <c r="H128" s="6">
        <v>51</v>
      </c>
      <c r="I128" s="6">
        <v>1</v>
      </c>
      <c r="J128" s="7">
        <v>30448</v>
      </c>
      <c r="K128" s="16" t="s">
        <v>201</v>
      </c>
      <c r="L128" s="6">
        <v>16</v>
      </c>
      <c r="M128" s="6">
        <v>8</v>
      </c>
      <c r="N128" s="6"/>
      <c r="O128" s="8" t="s">
        <v>211</v>
      </c>
      <c r="P128" s="6" t="s">
        <v>224</v>
      </c>
      <c r="Q128" s="31" t="s">
        <v>860</v>
      </c>
      <c r="R128" s="9" t="s">
        <v>465</v>
      </c>
      <c r="S128" s="6"/>
      <c r="T128" s="6">
        <v>3</v>
      </c>
      <c r="U128" s="43">
        <f>[122]Tabelle1!$L$3</f>
        <v>9</v>
      </c>
      <c r="V128" s="46">
        <f>[122]Tabelle1!$L$4</f>
        <v>0</v>
      </c>
      <c r="W128" s="6"/>
      <c r="X128" s="6"/>
      <c r="Y128" s="91"/>
      <c r="Z128" s="91"/>
      <c r="AA128" s="25"/>
    </row>
    <row r="129" spans="1:27" s="2" customFormat="1" ht="38.25" customHeight="1" x14ac:dyDescent="0.2">
      <c r="A129" s="38" t="s">
        <v>155</v>
      </c>
      <c r="B129" s="8" t="s">
        <v>76</v>
      </c>
      <c r="C129" s="9" t="s">
        <v>304</v>
      </c>
      <c r="D129" s="9" t="s">
        <v>198</v>
      </c>
      <c r="E129" s="8" t="s">
        <v>215</v>
      </c>
      <c r="F129" s="6" t="s">
        <v>3</v>
      </c>
      <c r="G129" s="6" t="s">
        <v>448</v>
      </c>
      <c r="H129" s="6">
        <v>138</v>
      </c>
      <c r="I129" s="6">
        <v>2</v>
      </c>
      <c r="J129" s="7">
        <v>35276</v>
      </c>
      <c r="K129" s="16" t="s">
        <v>201</v>
      </c>
      <c r="L129" s="6"/>
      <c r="M129" s="6"/>
      <c r="N129" s="6"/>
      <c r="O129" s="6" t="s">
        <v>211</v>
      </c>
      <c r="P129" s="6">
        <v>2000</v>
      </c>
      <c r="Q129" s="31" t="s">
        <v>860</v>
      </c>
      <c r="R129" s="9" t="s">
        <v>435</v>
      </c>
      <c r="S129" s="6"/>
      <c r="T129" s="6">
        <v>2</v>
      </c>
      <c r="U129" s="43">
        <f>[123]Tabelle1!$L$3</f>
        <v>6</v>
      </c>
      <c r="V129" s="46">
        <f>[123]Tabelle1!$L$4</f>
        <v>22</v>
      </c>
      <c r="W129" s="6"/>
      <c r="X129" s="6"/>
      <c r="Y129" s="91"/>
      <c r="Z129" s="91"/>
      <c r="AA129" s="25"/>
    </row>
    <row r="130" spans="1:27" s="2" customFormat="1" ht="38.25" customHeight="1" x14ac:dyDescent="0.2">
      <c r="A130" s="38" t="s">
        <v>156</v>
      </c>
      <c r="B130" s="8">
        <v>2000</v>
      </c>
      <c r="C130" s="9" t="s">
        <v>373</v>
      </c>
      <c r="D130" s="9" t="s">
        <v>195</v>
      </c>
      <c r="E130" s="8" t="s">
        <v>215</v>
      </c>
      <c r="F130" s="6" t="s">
        <v>57</v>
      </c>
      <c r="G130" s="6" t="s">
        <v>281</v>
      </c>
      <c r="H130" s="6">
        <v>12</v>
      </c>
      <c r="I130" s="6">
        <v>1</v>
      </c>
      <c r="J130" s="12">
        <v>26504</v>
      </c>
      <c r="K130" s="16" t="s">
        <v>203</v>
      </c>
      <c r="L130" s="6">
        <v>16</v>
      </c>
      <c r="M130" s="6">
        <v>14</v>
      </c>
      <c r="N130" s="6"/>
      <c r="O130" s="6" t="s">
        <v>211</v>
      </c>
      <c r="P130" s="6">
        <v>2000</v>
      </c>
      <c r="Q130" s="31" t="s">
        <v>860</v>
      </c>
      <c r="R130" s="31" t="s">
        <v>465</v>
      </c>
      <c r="S130" s="6"/>
      <c r="T130" s="6">
        <v>4</v>
      </c>
      <c r="U130" s="43">
        <f>[124]Tabelle1!$L$3</f>
        <v>5</v>
      </c>
      <c r="V130" s="46">
        <f>[124]Tabelle1!$L$4</f>
        <v>9</v>
      </c>
      <c r="W130" s="6"/>
      <c r="X130" s="6"/>
      <c r="Y130" s="91"/>
      <c r="Z130" s="91"/>
      <c r="AA130" s="25"/>
    </row>
    <row r="131" spans="1:27" s="2" customFormat="1" ht="38.25" customHeight="1" x14ac:dyDescent="0.2">
      <c r="A131" s="38" t="s">
        <v>157</v>
      </c>
      <c r="B131" s="8" t="s">
        <v>76</v>
      </c>
      <c r="C131" s="9" t="s">
        <v>320</v>
      </c>
      <c r="D131" s="9" t="s">
        <v>195</v>
      </c>
      <c r="E131" s="8" t="s">
        <v>215</v>
      </c>
      <c r="F131" s="6" t="s">
        <v>57</v>
      </c>
      <c r="G131" s="6" t="s">
        <v>158</v>
      </c>
      <c r="H131" s="6">
        <v>14</v>
      </c>
      <c r="I131" s="6">
        <v>1</v>
      </c>
      <c r="J131" s="6">
        <v>26955</v>
      </c>
      <c r="K131" s="16" t="s">
        <v>325</v>
      </c>
      <c r="L131" s="6">
        <v>16</v>
      </c>
      <c r="M131" s="6">
        <v>12</v>
      </c>
      <c r="N131" s="6"/>
      <c r="O131" s="6" t="s">
        <v>211</v>
      </c>
      <c r="P131" s="6">
        <v>2000</v>
      </c>
      <c r="Q131" s="31" t="s">
        <v>860</v>
      </c>
      <c r="R131" s="9" t="s">
        <v>465</v>
      </c>
      <c r="S131" s="6"/>
      <c r="T131" s="6">
        <v>3</v>
      </c>
      <c r="U131" s="43">
        <f>[125]Tabelle1!$L$3</f>
        <v>30</v>
      </c>
      <c r="V131" s="46">
        <f>[125]Tabelle1!$L$4</f>
        <v>10</v>
      </c>
      <c r="W131" s="6"/>
      <c r="X131" s="6"/>
      <c r="Y131" s="91"/>
      <c r="Z131" s="91"/>
      <c r="AA131" s="25"/>
    </row>
    <row r="132" spans="1:27" s="2" customFormat="1" ht="38.25" customHeight="1" x14ac:dyDescent="0.2">
      <c r="A132" s="38" t="s">
        <v>159</v>
      </c>
      <c r="B132" s="8">
        <v>2000</v>
      </c>
      <c r="C132" s="9" t="s">
        <v>299</v>
      </c>
      <c r="D132" s="9" t="s">
        <v>195</v>
      </c>
      <c r="E132" s="8" t="s">
        <v>215</v>
      </c>
      <c r="F132" s="6" t="s">
        <v>57</v>
      </c>
      <c r="G132" s="6" t="s">
        <v>280</v>
      </c>
      <c r="H132" s="6">
        <v>13</v>
      </c>
      <c r="I132" s="6">
        <v>1</v>
      </c>
      <c r="J132" s="7">
        <v>26509</v>
      </c>
      <c r="K132" s="16" t="s">
        <v>203</v>
      </c>
      <c r="L132" s="6">
        <v>32</v>
      </c>
      <c r="M132" s="6">
        <v>15</v>
      </c>
      <c r="N132" s="10"/>
      <c r="O132" s="6" t="s">
        <v>211</v>
      </c>
      <c r="P132" s="6">
        <v>2000</v>
      </c>
      <c r="Q132" s="31" t="s">
        <v>860</v>
      </c>
      <c r="R132" s="31" t="s">
        <v>465</v>
      </c>
      <c r="S132" s="6"/>
      <c r="T132" s="6">
        <v>3</v>
      </c>
      <c r="U132" s="43">
        <f>[126]Tabelle1!$L$3</f>
        <v>6</v>
      </c>
      <c r="V132" s="46">
        <f>[126]Tabelle1!$L$4</f>
        <v>10</v>
      </c>
      <c r="W132" s="6"/>
      <c r="X132" s="6"/>
      <c r="Y132" s="91"/>
      <c r="Z132" s="91"/>
      <c r="AA132" s="25"/>
    </row>
    <row r="133" spans="1:27" s="2" customFormat="1" ht="38.25" customHeight="1" x14ac:dyDescent="0.2">
      <c r="A133" s="38" t="s">
        <v>160</v>
      </c>
      <c r="B133" s="8" t="s">
        <v>76</v>
      </c>
      <c r="C133" s="9" t="s">
        <v>312</v>
      </c>
      <c r="D133" s="9" t="s">
        <v>195</v>
      </c>
      <c r="E133" s="8" t="s">
        <v>215</v>
      </c>
      <c r="F133" s="6" t="s">
        <v>57</v>
      </c>
      <c r="G133" s="6" t="s">
        <v>281</v>
      </c>
      <c r="H133" s="6">
        <v>1</v>
      </c>
      <c r="I133" s="6">
        <v>1</v>
      </c>
      <c r="J133" s="7">
        <v>28575</v>
      </c>
      <c r="K133" s="16" t="s">
        <v>201</v>
      </c>
      <c r="L133" s="6">
        <v>16</v>
      </c>
      <c r="M133" s="6">
        <v>6</v>
      </c>
      <c r="N133" s="6"/>
      <c r="O133" s="6" t="s">
        <v>211</v>
      </c>
      <c r="P133" s="6">
        <v>2000</v>
      </c>
      <c r="Q133" s="31" t="s">
        <v>860</v>
      </c>
      <c r="R133" s="9" t="s">
        <v>474</v>
      </c>
      <c r="S133" s="6"/>
      <c r="T133" s="6">
        <v>1</v>
      </c>
      <c r="U133" s="43">
        <f>[127]Tabelle1!$L$3</f>
        <v>8</v>
      </c>
      <c r="V133" s="46">
        <f>[127]Tabelle1!$L$4</f>
        <v>2</v>
      </c>
      <c r="W133" s="6"/>
      <c r="X133" s="6"/>
      <c r="Y133" s="91"/>
      <c r="Z133" s="91" t="s">
        <v>644</v>
      </c>
      <c r="AA133" s="25"/>
    </row>
    <row r="134" spans="1:27" s="2" customFormat="1" ht="38.25" customHeight="1" x14ac:dyDescent="0.2">
      <c r="A134" s="38" t="s">
        <v>162</v>
      </c>
      <c r="B134" s="53" t="s">
        <v>416</v>
      </c>
      <c r="C134" s="9" t="s">
        <v>419</v>
      </c>
      <c r="D134" s="55" t="s">
        <v>420</v>
      </c>
      <c r="E134" s="8" t="s">
        <v>215</v>
      </c>
      <c r="F134" s="6" t="s">
        <v>3</v>
      </c>
      <c r="G134" s="6" t="s">
        <v>163</v>
      </c>
      <c r="H134" s="6">
        <v>107</v>
      </c>
      <c r="I134" s="6">
        <v>2</v>
      </c>
      <c r="J134" s="11">
        <v>47118</v>
      </c>
      <c r="K134" s="16" t="s">
        <v>515</v>
      </c>
      <c r="L134" s="6">
        <v>16</v>
      </c>
      <c r="M134" s="6">
        <v>6</v>
      </c>
      <c r="N134" s="10"/>
      <c r="O134" s="6" t="s">
        <v>211</v>
      </c>
      <c r="P134" s="6" t="s">
        <v>417</v>
      </c>
      <c r="Q134" s="31" t="s">
        <v>860</v>
      </c>
      <c r="R134" s="31" t="s">
        <v>435</v>
      </c>
      <c r="S134" s="6"/>
      <c r="T134" s="6">
        <v>3</v>
      </c>
      <c r="U134" s="43">
        <f>[128]Tabelle1!$L$3</f>
        <v>4</v>
      </c>
      <c r="V134" s="46">
        <f>[128]Tabelle1!$L$4</f>
        <v>3</v>
      </c>
      <c r="W134" s="6"/>
      <c r="X134" s="6"/>
      <c r="Y134" s="105" t="s">
        <v>684</v>
      </c>
      <c r="Z134" s="91"/>
      <c r="AA134" s="25" t="s">
        <v>838</v>
      </c>
    </row>
    <row r="135" spans="1:27" s="2" customFormat="1" ht="38.25" customHeight="1" x14ac:dyDescent="0.2">
      <c r="A135" s="38" t="s">
        <v>164</v>
      </c>
      <c r="B135" s="8" t="s">
        <v>76</v>
      </c>
      <c r="C135" s="18" t="s">
        <v>374</v>
      </c>
      <c r="D135" s="9" t="s">
        <v>195</v>
      </c>
      <c r="E135" s="8" t="s">
        <v>215</v>
      </c>
      <c r="F135" s="6" t="s">
        <v>57</v>
      </c>
      <c r="G135" s="6" t="s">
        <v>165</v>
      </c>
      <c r="H135" s="6">
        <v>6</v>
      </c>
      <c r="I135" s="6">
        <v>1</v>
      </c>
      <c r="J135" s="7">
        <v>29673</v>
      </c>
      <c r="K135" s="16" t="s">
        <v>201</v>
      </c>
      <c r="L135" s="6">
        <v>16</v>
      </c>
      <c r="M135" s="6">
        <v>7</v>
      </c>
      <c r="N135" s="10"/>
      <c r="O135" s="6" t="s">
        <v>211</v>
      </c>
      <c r="P135" s="6">
        <v>2000</v>
      </c>
      <c r="Q135" s="31" t="s">
        <v>860</v>
      </c>
      <c r="R135" s="9" t="s">
        <v>474</v>
      </c>
      <c r="S135" s="6"/>
      <c r="T135" s="6">
        <v>8</v>
      </c>
      <c r="U135" s="43">
        <f>[129]Tabelle1!$L$3</f>
        <v>265</v>
      </c>
      <c r="V135" s="46">
        <f>[129]Tabelle1!$L$4</f>
        <v>45</v>
      </c>
      <c r="W135" s="6"/>
      <c r="X135" s="6"/>
      <c r="Y135" s="91"/>
      <c r="Z135" s="91"/>
      <c r="AA135" s="25"/>
    </row>
    <row r="136" spans="1:27" s="2" customFormat="1" ht="38.25" customHeight="1" x14ac:dyDescent="0.2">
      <c r="A136" s="38" t="s">
        <v>166</v>
      </c>
      <c r="B136" s="8" t="s">
        <v>76</v>
      </c>
      <c r="C136" s="9" t="s">
        <v>335</v>
      </c>
      <c r="D136" s="9" t="s">
        <v>87</v>
      </c>
      <c r="E136" s="8" t="s">
        <v>215</v>
      </c>
      <c r="F136" s="6" t="s">
        <v>3</v>
      </c>
      <c r="G136" s="6" t="s">
        <v>258</v>
      </c>
      <c r="H136" s="6">
        <v>27</v>
      </c>
      <c r="I136" s="6">
        <v>2</v>
      </c>
      <c r="J136" s="7">
        <v>29671</v>
      </c>
      <c r="K136" s="16" t="s">
        <v>204</v>
      </c>
      <c r="L136" s="6">
        <v>16</v>
      </c>
      <c r="M136" s="6">
        <v>7</v>
      </c>
      <c r="N136" s="6"/>
      <c r="O136" s="6" t="s">
        <v>211</v>
      </c>
      <c r="P136" s="6" t="s">
        <v>224</v>
      </c>
      <c r="Q136" s="31" t="s">
        <v>860</v>
      </c>
      <c r="R136" s="9" t="s">
        <v>435</v>
      </c>
      <c r="S136" s="6"/>
      <c r="T136" s="6">
        <v>1</v>
      </c>
      <c r="U136" s="43">
        <f>[130]Tabelle1!$L$3</f>
        <v>0</v>
      </c>
      <c r="V136" s="80">
        <f>[130]Tabelle1!$L$4</f>
        <v>18</v>
      </c>
      <c r="W136" s="6"/>
      <c r="X136" s="6"/>
      <c r="Y136" s="91"/>
      <c r="Z136" s="91"/>
      <c r="AA136" s="61"/>
    </row>
    <row r="137" spans="1:27" s="2" customFormat="1" ht="38.25" customHeight="1" x14ac:dyDescent="0.2">
      <c r="A137" s="38" t="s">
        <v>167</v>
      </c>
      <c r="B137" s="8" t="s">
        <v>76</v>
      </c>
      <c r="C137" s="9" t="s">
        <v>335</v>
      </c>
      <c r="D137" s="9" t="s">
        <v>195</v>
      </c>
      <c r="E137" s="8" t="s">
        <v>215</v>
      </c>
      <c r="F137" s="6" t="s">
        <v>3</v>
      </c>
      <c r="G137" s="6" t="s">
        <v>605</v>
      </c>
      <c r="H137" s="6">
        <v>52</v>
      </c>
      <c r="I137" s="6">
        <v>2</v>
      </c>
      <c r="J137" s="12">
        <v>47431</v>
      </c>
      <c r="K137" s="16" t="s">
        <v>201</v>
      </c>
      <c r="L137" s="6">
        <v>16</v>
      </c>
      <c r="M137" s="6">
        <v>7</v>
      </c>
      <c r="N137" s="6"/>
      <c r="O137" s="6" t="s">
        <v>211</v>
      </c>
      <c r="P137" s="6">
        <v>2000</v>
      </c>
      <c r="Q137" s="31" t="s">
        <v>860</v>
      </c>
      <c r="R137" s="9" t="s">
        <v>435</v>
      </c>
      <c r="S137" s="6">
        <v>1</v>
      </c>
      <c r="T137" s="6">
        <v>3</v>
      </c>
      <c r="U137" s="43">
        <f>[131]Tabelle1!$L$3</f>
        <v>0</v>
      </c>
      <c r="V137" s="80">
        <f>[131]Tabelle1!$L$4</f>
        <v>20</v>
      </c>
      <c r="W137" s="6"/>
      <c r="X137" s="6"/>
      <c r="Y137" s="91"/>
      <c r="Z137" s="91"/>
      <c r="AA137" s="25" t="s">
        <v>665</v>
      </c>
    </row>
    <row r="138" spans="1:27" s="2" customFormat="1" ht="38.25" customHeight="1" x14ac:dyDescent="0.2">
      <c r="A138" s="38" t="s">
        <v>168</v>
      </c>
      <c r="B138" s="8" t="s">
        <v>76</v>
      </c>
      <c r="C138" s="9" t="s">
        <v>304</v>
      </c>
      <c r="D138" s="9" t="s">
        <v>199</v>
      </c>
      <c r="E138" s="8" t="s">
        <v>215</v>
      </c>
      <c r="F138" s="6" t="s">
        <v>3</v>
      </c>
      <c r="G138" s="6" t="s">
        <v>448</v>
      </c>
      <c r="H138" s="6">
        <v>139</v>
      </c>
      <c r="I138" s="6">
        <v>2</v>
      </c>
      <c r="J138" s="7">
        <v>36130</v>
      </c>
      <c r="K138" s="16" t="s">
        <v>210</v>
      </c>
      <c r="L138" s="6">
        <v>16</v>
      </c>
      <c r="M138" s="6">
        <v>11</v>
      </c>
      <c r="N138" s="6"/>
      <c r="O138" s="6" t="s">
        <v>211</v>
      </c>
      <c r="P138" s="6" t="s">
        <v>224</v>
      </c>
      <c r="Q138" s="31" t="s">
        <v>860</v>
      </c>
      <c r="R138" s="9" t="s">
        <v>435</v>
      </c>
      <c r="S138" s="6"/>
      <c r="T138" s="6">
        <v>1</v>
      </c>
      <c r="U138" s="43">
        <f>[132]Tabelle1!$L$3</f>
        <v>11</v>
      </c>
      <c r="V138" s="46">
        <f>[132]Tabelle1!$L$4</f>
        <v>0</v>
      </c>
      <c r="W138" s="6"/>
      <c r="X138" s="6"/>
      <c r="Y138" s="91"/>
      <c r="Z138" s="91"/>
      <c r="AA138" s="25" t="s">
        <v>58</v>
      </c>
    </row>
    <row r="139" spans="1:27" s="2" customFormat="1" ht="38.25" customHeight="1" x14ac:dyDescent="0.2">
      <c r="A139" s="38" t="s">
        <v>169</v>
      </c>
      <c r="B139" s="53" t="s">
        <v>539</v>
      </c>
      <c r="C139" s="18" t="s">
        <v>375</v>
      </c>
      <c r="D139" s="9" t="s">
        <v>80</v>
      </c>
      <c r="E139" s="8" t="s">
        <v>215</v>
      </c>
      <c r="F139" s="6" t="s">
        <v>57</v>
      </c>
      <c r="G139" s="6" t="s">
        <v>152</v>
      </c>
      <c r="H139" s="6">
        <v>72</v>
      </c>
      <c r="I139" s="6">
        <v>1</v>
      </c>
      <c r="J139" s="7">
        <v>47047</v>
      </c>
      <c r="K139" s="34" t="s">
        <v>548</v>
      </c>
      <c r="L139" s="6">
        <v>16</v>
      </c>
      <c r="M139" s="6">
        <v>3</v>
      </c>
      <c r="N139" s="6"/>
      <c r="O139" s="6" t="s">
        <v>211</v>
      </c>
      <c r="P139" s="19" t="s">
        <v>488</v>
      </c>
      <c r="Q139" s="31" t="s">
        <v>860</v>
      </c>
      <c r="R139" s="9" t="s">
        <v>474</v>
      </c>
      <c r="S139" s="6"/>
      <c r="T139" s="6">
        <v>6</v>
      </c>
      <c r="U139" s="43">
        <f>[133]Tabelle1!$L$3</f>
        <v>0</v>
      </c>
      <c r="V139" s="46">
        <f>[133]Tabelle1!$L$4</f>
        <v>42</v>
      </c>
      <c r="W139" s="6"/>
      <c r="X139" s="6"/>
      <c r="Y139" s="6" t="s">
        <v>685</v>
      </c>
      <c r="Z139" s="6"/>
      <c r="AA139" s="96" t="s">
        <v>286</v>
      </c>
    </row>
    <row r="140" spans="1:27" s="2" customFormat="1" ht="38.25" customHeight="1" x14ac:dyDescent="0.2">
      <c r="A140" s="38" t="s">
        <v>170</v>
      </c>
      <c r="B140" s="8" t="s">
        <v>76</v>
      </c>
      <c r="C140" s="9" t="s">
        <v>310</v>
      </c>
      <c r="D140" s="9" t="s">
        <v>199</v>
      </c>
      <c r="E140" s="8" t="s">
        <v>215</v>
      </c>
      <c r="F140" s="6" t="s">
        <v>3</v>
      </c>
      <c r="G140" s="6" t="s">
        <v>263</v>
      </c>
      <c r="H140" s="6">
        <v>137</v>
      </c>
      <c r="I140" s="6">
        <v>2</v>
      </c>
      <c r="J140" s="7">
        <v>36780</v>
      </c>
      <c r="K140" s="16" t="s">
        <v>201</v>
      </c>
      <c r="L140" s="6"/>
      <c r="M140" s="6"/>
      <c r="N140" s="6"/>
      <c r="O140" s="6" t="s">
        <v>211</v>
      </c>
      <c r="P140" s="6" t="s">
        <v>224</v>
      </c>
      <c r="Q140" s="31" t="s">
        <v>860</v>
      </c>
      <c r="R140" s="9" t="s">
        <v>435</v>
      </c>
      <c r="S140" s="6"/>
      <c r="T140" s="6">
        <v>1</v>
      </c>
      <c r="U140" s="43">
        <f>[134]Tabelle1!$L$3</f>
        <v>36</v>
      </c>
      <c r="V140" s="46">
        <f>[134]Tabelle1!$L$4</f>
        <v>16</v>
      </c>
      <c r="W140" s="6"/>
      <c r="X140" s="6"/>
      <c r="Y140" s="91"/>
      <c r="Z140" s="91" t="s">
        <v>643</v>
      </c>
      <c r="AA140" s="25"/>
    </row>
    <row r="141" spans="1:27" s="2" customFormat="1" ht="38.25" customHeight="1" x14ac:dyDescent="0.2">
      <c r="A141" s="38" t="s">
        <v>171</v>
      </c>
      <c r="B141" s="8" t="s">
        <v>76</v>
      </c>
      <c r="C141" s="9" t="s">
        <v>494</v>
      </c>
      <c r="D141" s="9" t="s">
        <v>495</v>
      </c>
      <c r="E141" s="8" t="s">
        <v>215</v>
      </c>
      <c r="F141" s="6" t="s">
        <v>3</v>
      </c>
      <c r="G141" s="6" t="s">
        <v>266</v>
      </c>
      <c r="H141" s="6">
        <v>66</v>
      </c>
      <c r="I141" s="6">
        <v>1</v>
      </c>
      <c r="J141" s="7">
        <v>29792</v>
      </c>
      <c r="K141" s="16" t="s">
        <v>201</v>
      </c>
      <c r="L141" s="6">
        <v>16</v>
      </c>
      <c r="M141" s="6">
        <v>6</v>
      </c>
      <c r="N141" s="6"/>
      <c r="O141" s="6" t="s">
        <v>211</v>
      </c>
      <c r="P141" s="6" t="s">
        <v>224</v>
      </c>
      <c r="Q141" s="31" t="s">
        <v>860</v>
      </c>
      <c r="R141" s="9" t="s">
        <v>474</v>
      </c>
      <c r="S141" s="6"/>
      <c r="T141" s="6">
        <v>8</v>
      </c>
      <c r="U141" s="43">
        <f>[135]Tabelle1!$L$3</f>
        <v>24</v>
      </c>
      <c r="V141" s="46">
        <f>[135]Tabelle1!$L$4</f>
        <v>4</v>
      </c>
      <c r="W141" s="6"/>
      <c r="X141" s="6"/>
      <c r="Y141" s="91"/>
      <c r="Z141" s="91"/>
      <c r="AA141" s="25"/>
    </row>
    <row r="142" spans="1:27" s="2" customFormat="1" ht="38.25" customHeight="1" x14ac:dyDescent="0.2">
      <c r="A142" s="38" t="s">
        <v>172</v>
      </c>
      <c r="B142" s="23" t="s">
        <v>173</v>
      </c>
      <c r="C142" s="9" t="s">
        <v>376</v>
      </c>
      <c r="D142" s="9" t="s">
        <v>200</v>
      </c>
      <c r="E142" s="8" t="s">
        <v>215</v>
      </c>
      <c r="F142" s="15" t="s">
        <v>3</v>
      </c>
      <c r="G142" s="15" t="s">
        <v>449</v>
      </c>
      <c r="H142" s="15"/>
      <c r="I142" s="6">
        <v>2</v>
      </c>
      <c r="J142" s="30" t="s">
        <v>174</v>
      </c>
      <c r="K142" s="30" t="s">
        <v>174</v>
      </c>
      <c r="L142" s="6">
        <v>0</v>
      </c>
      <c r="M142" s="6">
        <v>0</v>
      </c>
      <c r="N142" s="6" t="s">
        <v>194</v>
      </c>
      <c r="O142" s="30" t="s">
        <v>174</v>
      </c>
      <c r="P142" s="6" t="s">
        <v>194</v>
      </c>
      <c r="Q142" s="31" t="s">
        <v>649</v>
      </c>
      <c r="R142" s="30" t="s">
        <v>174</v>
      </c>
      <c r="S142" s="6"/>
      <c r="T142" s="6"/>
      <c r="U142" s="43"/>
      <c r="V142" s="46"/>
      <c r="W142" s="6"/>
      <c r="X142" s="6"/>
      <c r="Y142" s="91"/>
      <c r="Z142" s="91"/>
      <c r="AA142" s="29"/>
    </row>
    <row r="143" spans="1:27" s="2" customFormat="1" ht="38.25" customHeight="1" x14ac:dyDescent="0.2">
      <c r="A143" s="38" t="s">
        <v>175</v>
      </c>
      <c r="B143" s="23" t="s">
        <v>173</v>
      </c>
      <c r="C143" s="9" t="s">
        <v>377</v>
      </c>
      <c r="D143" s="9" t="s">
        <v>199</v>
      </c>
      <c r="E143" s="8" t="s">
        <v>215</v>
      </c>
      <c r="F143" s="15" t="s">
        <v>3</v>
      </c>
      <c r="G143" s="15" t="s">
        <v>463</v>
      </c>
      <c r="H143" s="15"/>
      <c r="I143" s="6">
        <v>2</v>
      </c>
      <c r="J143" s="30" t="s">
        <v>174</v>
      </c>
      <c r="K143" s="30" t="s">
        <v>174</v>
      </c>
      <c r="L143" s="6">
        <v>0</v>
      </c>
      <c r="M143" s="6">
        <v>0</v>
      </c>
      <c r="N143" s="6" t="s">
        <v>194</v>
      </c>
      <c r="O143" s="30" t="s">
        <v>174</v>
      </c>
      <c r="P143" s="6" t="s">
        <v>194</v>
      </c>
      <c r="Q143" s="31" t="s">
        <v>649</v>
      </c>
      <c r="R143" s="30" t="s">
        <v>174</v>
      </c>
      <c r="S143" s="6"/>
      <c r="T143" s="6"/>
      <c r="U143" s="43"/>
      <c r="V143" s="46"/>
      <c r="W143" s="6"/>
      <c r="X143" s="6"/>
      <c r="Y143" s="91"/>
      <c r="Z143" s="91"/>
      <c r="AA143" s="29"/>
    </row>
    <row r="144" spans="1:27" s="2" customFormat="1" ht="38.25" customHeight="1" x14ac:dyDescent="0.2">
      <c r="A144" s="38" t="s">
        <v>178</v>
      </c>
      <c r="B144" s="8" t="s">
        <v>76</v>
      </c>
      <c r="C144" s="9" t="s">
        <v>335</v>
      </c>
      <c r="D144" s="8">
        <v>40</v>
      </c>
      <c r="E144" s="8" t="s">
        <v>215</v>
      </c>
      <c r="F144" s="6" t="s">
        <v>3</v>
      </c>
      <c r="G144" s="6" t="s">
        <v>256</v>
      </c>
      <c r="H144" s="6">
        <v>25</v>
      </c>
      <c r="I144" s="6">
        <v>2</v>
      </c>
      <c r="J144" s="7">
        <v>36131</v>
      </c>
      <c r="K144" s="16" t="s">
        <v>209</v>
      </c>
      <c r="L144" s="6">
        <v>16</v>
      </c>
      <c r="M144" s="6">
        <v>0</v>
      </c>
      <c r="N144" s="6" t="s">
        <v>213</v>
      </c>
      <c r="O144" s="6" t="s">
        <v>212</v>
      </c>
      <c r="P144" s="6" t="s">
        <v>224</v>
      </c>
      <c r="Q144" s="31" t="s">
        <v>860</v>
      </c>
      <c r="R144" s="9" t="s">
        <v>435</v>
      </c>
      <c r="S144" s="6"/>
      <c r="T144" s="6">
        <v>22</v>
      </c>
      <c r="U144" s="43">
        <f>[136]Tabelle1!$L$3</f>
        <v>48</v>
      </c>
      <c r="V144" s="80">
        <f>[136]Tabelle1!$L$4</f>
        <v>0</v>
      </c>
      <c r="W144" s="6"/>
      <c r="X144" s="6"/>
      <c r="Y144" s="91"/>
      <c r="Z144" s="91"/>
      <c r="AA144" s="25"/>
    </row>
    <row r="145" spans="1:27" s="2" customFormat="1" ht="38.25" customHeight="1" x14ac:dyDescent="0.2">
      <c r="A145" s="38" t="s">
        <v>179</v>
      </c>
      <c r="B145" s="8" t="s">
        <v>76</v>
      </c>
      <c r="C145" s="9" t="s">
        <v>378</v>
      </c>
      <c r="D145" s="8">
        <v>20</v>
      </c>
      <c r="E145" s="8" t="s">
        <v>208</v>
      </c>
      <c r="F145" s="6" t="s">
        <v>53</v>
      </c>
      <c r="G145" s="6" t="s">
        <v>113</v>
      </c>
      <c r="H145" s="6">
        <v>211</v>
      </c>
      <c r="I145" s="6">
        <v>5</v>
      </c>
      <c r="J145" s="11">
        <v>36113</v>
      </c>
      <c r="K145" s="16" t="s">
        <v>210</v>
      </c>
      <c r="L145" s="6">
        <v>16</v>
      </c>
      <c r="M145" s="6"/>
      <c r="N145" s="21"/>
      <c r="O145" s="6" t="s">
        <v>211</v>
      </c>
      <c r="P145" s="6" t="s">
        <v>224</v>
      </c>
      <c r="Q145" s="31" t="s">
        <v>860</v>
      </c>
      <c r="R145" s="9" t="s">
        <v>470</v>
      </c>
      <c r="S145" s="6"/>
      <c r="T145" s="6">
        <v>4</v>
      </c>
      <c r="U145" s="43">
        <v>0</v>
      </c>
      <c r="V145" s="46">
        <v>60</v>
      </c>
      <c r="W145" s="6"/>
      <c r="X145" s="6"/>
      <c r="Y145" s="91"/>
      <c r="Z145" s="91" t="s">
        <v>619</v>
      </c>
      <c r="AA145" s="25"/>
    </row>
    <row r="146" spans="1:27" s="2" customFormat="1" ht="38.25" customHeight="1" x14ac:dyDescent="0.2">
      <c r="A146" s="38" t="s">
        <v>180</v>
      </c>
      <c r="B146" s="8" t="s">
        <v>76</v>
      </c>
      <c r="C146" s="18" t="s">
        <v>379</v>
      </c>
      <c r="D146" s="8">
        <v>140</v>
      </c>
      <c r="E146" s="8" t="s">
        <v>216</v>
      </c>
      <c r="F146" s="6" t="s">
        <v>3</v>
      </c>
      <c r="G146" s="6" t="s">
        <v>446</v>
      </c>
      <c r="H146" s="6">
        <v>73</v>
      </c>
      <c r="I146" s="6">
        <v>1</v>
      </c>
      <c r="J146" s="67">
        <v>36268</v>
      </c>
      <c r="K146" s="16" t="s">
        <v>210</v>
      </c>
      <c r="L146" s="6">
        <v>8</v>
      </c>
      <c r="M146" s="6">
        <v>0</v>
      </c>
      <c r="N146" s="6" t="s">
        <v>213</v>
      </c>
      <c r="O146" s="6" t="s">
        <v>211</v>
      </c>
      <c r="P146" s="6" t="s">
        <v>224</v>
      </c>
      <c r="Q146" s="31" t="s">
        <v>860</v>
      </c>
      <c r="R146" s="9" t="s">
        <v>435</v>
      </c>
      <c r="S146" s="6"/>
      <c r="T146" s="6">
        <v>9</v>
      </c>
      <c r="U146" s="43">
        <f>[137]Tabelle1!$L$3</f>
        <v>0</v>
      </c>
      <c r="V146" s="46">
        <f>[137]Tabelle1!$L$4</f>
        <v>26</v>
      </c>
      <c r="W146" s="6"/>
      <c r="X146" s="6"/>
      <c r="Y146" s="91"/>
      <c r="Z146" s="91"/>
      <c r="AA146" s="25"/>
    </row>
    <row r="147" spans="1:27" s="2" customFormat="1" ht="38.25" customHeight="1" x14ac:dyDescent="0.2">
      <c r="A147" s="38" t="s">
        <v>181</v>
      </c>
      <c r="B147" s="8" t="s">
        <v>76</v>
      </c>
      <c r="C147" s="9" t="s">
        <v>304</v>
      </c>
      <c r="D147" s="8">
        <v>140</v>
      </c>
      <c r="E147" s="8" t="s">
        <v>215</v>
      </c>
      <c r="F147" s="6" t="s">
        <v>176</v>
      </c>
      <c r="G147" s="6" t="s">
        <v>265</v>
      </c>
      <c r="H147" s="6">
        <v>59</v>
      </c>
      <c r="I147" s="6">
        <v>2</v>
      </c>
      <c r="J147" s="11">
        <v>37340</v>
      </c>
      <c r="K147" s="16" t="s">
        <v>210</v>
      </c>
      <c r="L147" s="6">
        <v>0</v>
      </c>
      <c r="M147" s="6">
        <v>0</v>
      </c>
      <c r="N147" s="6" t="s">
        <v>213</v>
      </c>
      <c r="O147" s="6" t="s">
        <v>211</v>
      </c>
      <c r="P147" s="6" t="s">
        <v>224</v>
      </c>
      <c r="Q147" s="31" t="s">
        <v>860</v>
      </c>
      <c r="R147" s="9" t="s">
        <v>435</v>
      </c>
      <c r="S147" s="6"/>
      <c r="T147" s="6">
        <v>8</v>
      </c>
      <c r="U147" s="43">
        <f>[138]Tabelle1!$L$3</f>
        <v>52</v>
      </c>
      <c r="V147" s="46">
        <f>[138]Tabelle1!$L$4</f>
        <v>0</v>
      </c>
      <c r="W147" s="6"/>
      <c r="X147" s="6"/>
      <c r="Y147" s="91"/>
      <c r="Z147" s="91" t="s">
        <v>620</v>
      </c>
      <c r="AA147" s="25"/>
    </row>
    <row r="148" spans="1:27" s="2" customFormat="1" ht="38.25" customHeight="1" x14ac:dyDescent="0.2">
      <c r="A148" s="38" t="s">
        <v>182</v>
      </c>
      <c r="B148" s="8" t="s">
        <v>76</v>
      </c>
      <c r="C148" s="9" t="s">
        <v>380</v>
      </c>
      <c r="D148" s="8" t="s">
        <v>214</v>
      </c>
      <c r="E148" s="8" t="s">
        <v>215</v>
      </c>
      <c r="F148" s="6" t="s">
        <v>176</v>
      </c>
      <c r="G148" s="6" t="s">
        <v>536</v>
      </c>
      <c r="H148" s="6">
        <v>44</v>
      </c>
      <c r="I148" s="6">
        <v>2</v>
      </c>
      <c r="J148" s="11">
        <v>37341</v>
      </c>
      <c r="K148" s="16" t="s">
        <v>210</v>
      </c>
      <c r="L148" s="6">
        <v>0</v>
      </c>
      <c r="M148" s="6">
        <v>0</v>
      </c>
      <c r="N148" s="6" t="s">
        <v>213</v>
      </c>
      <c r="O148" s="6" t="s">
        <v>212</v>
      </c>
      <c r="P148" s="6" t="s">
        <v>224</v>
      </c>
      <c r="Q148" s="31" t="s">
        <v>860</v>
      </c>
      <c r="R148" s="9" t="s">
        <v>435</v>
      </c>
      <c r="S148" s="6"/>
      <c r="T148" s="6">
        <v>9</v>
      </c>
      <c r="U148" s="43">
        <v>60</v>
      </c>
      <c r="V148" s="46">
        <v>0</v>
      </c>
      <c r="W148" s="6"/>
      <c r="X148" s="6"/>
      <c r="Y148" s="91"/>
      <c r="Z148" s="91" t="s">
        <v>621</v>
      </c>
      <c r="AA148" s="25"/>
    </row>
    <row r="149" spans="1:27" s="2" customFormat="1" ht="38.25" customHeight="1" x14ac:dyDescent="0.2">
      <c r="A149" s="38" t="s">
        <v>183</v>
      </c>
      <c r="B149" s="8" t="s">
        <v>76</v>
      </c>
      <c r="C149" s="9" t="s">
        <v>445</v>
      </c>
      <c r="D149" s="8">
        <v>150</v>
      </c>
      <c r="E149" s="8" t="s">
        <v>215</v>
      </c>
      <c r="F149" s="6" t="s">
        <v>176</v>
      </c>
      <c r="G149" s="6" t="s">
        <v>218</v>
      </c>
      <c r="H149" s="6">
        <v>42</v>
      </c>
      <c r="I149" s="6">
        <v>2</v>
      </c>
      <c r="J149" s="7">
        <v>37342</v>
      </c>
      <c r="K149" s="16" t="s">
        <v>210</v>
      </c>
      <c r="L149" s="6">
        <v>0</v>
      </c>
      <c r="M149" s="6">
        <v>0</v>
      </c>
      <c r="N149" s="6" t="s">
        <v>213</v>
      </c>
      <c r="O149" s="6" t="s">
        <v>212</v>
      </c>
      <c r="P149" s="6" t="s">
        <v>224</v>
      </c>
      <c r="Q149" s="31" t="s">
        <v>860</v>
      </c>
      <c r="R149" s="9" t="s">
        <v>435</v>
      </c>
      <c r="S149" s="6"/>
      <c r="T149" s="6">
        <v>30</v>
      </c>
      <c r="U149" s="43">
        <v>60</v>
      </c>
      <c r="V149" s="46">
        <v>0</v>
      </c>
      <c r="W149" s="6"/>
      <c r="X149" s="6"/>
      <c r="Y149" s="91"/>
      <c r="Z149" s="91"/>
      <c r="AA149" s="25"/>
    </row>
    <row r="150" spans="1:27" s="2" customFormat="1" ht="38.25" customHeight="1" x14ac:dyDescent="0.2">
      <c r="A150" s="38" t="s">
        <v>184</v>
      </c>
      <c r="B150" s="8" t="s">
        <v>76</v>
      </c>
      <c r="C150" s="9" t="s">
        <v>380</v>
      </c>
      <c r="D150" s="8">
        <v>240</v>
      </c>
      <c r="E150" s="8" t="s">
        <v>215</v>
      </c>
      <c r="F150" s="6" t="s">
        <v>176</v>
      </c>
      <c r="G150" s="6" t="s">
        <v>476</v>
      </c>
      <c r="H150" s="19">
        <v>40</v>
      </c>
      <c r="I150" s="19">
        <v>1</v>
      </c>
      <c r="J150" s="56">
        <v>37343</v>
      </c>
      <c r="K150" s="34" t="s">
        <v>210</v>
      </c>
      <c r="L150" s="19">
        <v>0</v>
      </c>
      <c r="M150" s="19">
        <v>0</v>
      </c>
      <c r="N150" s="19" t="s">
        <v>213</v>
      </c>
      <c r="O150" s="19" t="s">
        <v>211</v>
      </c>
      <c r="P150" s="19" t="s">
        <v>224</v>
      </c>
      <c r="Q150" s="31" t="s">
        <v>860</v>
      </c>
      <c r="R150" s="9" t="s">
        <v>435</v>
      </c>
      <c r="S150" s="6"/>
      <c r="T150" s="6">
        <v>5</v>
      </c>
      <c r="U150" s="43">
        <f>[139]Tabelle1!$L$3</f>
        <v>5</v>
      </c>
      <c r="V150" s="46">
        <v>0</v>
      </c>
      <c r="W150" s="6"/>
      <c r="X150" s="6"/>
      <c r="Y150" s="91"/>
      <c r="Z150" s="91"/>
      <c r="AA150" s="25"/>
    </row>
    <row r="151" spans="1:27" s="2" customFormat="1" ht="38.25" customHeight="1" x14ac:dyDescent="0.2">
      <c r="A151" s="38" t="s">
        <v>177</v>
      </c>
      <c r="B151" s="8" t="s">
        <v>76</v>
      </c>
      <c r="C151" s="18" t="s">
        <v>382</v>
      </c>
      <c r="D151" s="8">
        <v>40</v>
      </c>
      <c r="E151" s="8" t="s">
        <v>215</v>
      </c>
      <c r="F151" s="6" t="s">
        <v>57</v>
      </c>
      <c r="G151" s="6" t="s">
        <v>144</v>
      </c>
      <c r="H151" s="6">
        <v>40</v>
      </c>
      <c r="I151" s="6">
        <v>1</v>
      </c>
      <c r="J151" s="7">
        <v>36267</v>
      </c>
      <c r="K151" s="16" t="s">
        <v>210</v>
      </c>
      <c r="L151" s="6">
        <v>8</v>
      </c>
      <c r="M151" s="6">
        <v>0</v>
      </c>
      <c r="N151" s="6" t="s">
        <v>359</v>
      </c>
      <c r="O151" s="6" t="s">
        <v>212</v>
      </c>
      <c r="P151" s="6" t="s">
        <v>224</v>
      </c>
      <c r="Q151" s="31" t="s">
        <v>860</v>
      </c>
      <c r="R151" s="9" t="s">
        <v>474</v>
      </c>
      <c r="S151" s="6"/>
      <c r="T151" s="6">
        <v>13</v>
      </c>
      <c r="U151" s="43">
        <f>[140]Tabelle1!$L$3</f>
        <v>0</v>
      </c>
      <c r="V151" s="46">
        <f>[140]Tabelle1!$L$4</f>
        <v>378</v>
      </c>
      <c r="W151" s="6"/>
      <c r="X151" s="6"/>
      <c r="Y151" s="91"/>
      <c r="Z151" s="91"/>
      <c r="AA151" s="25"/>
    </row>
    <row r="152" spans="1:27" s="2" customFormat="1" ht="38.25" customHeight="1" x14ac:dyDescent="0.2">
      <c r="A152" s="38" t="s">
        <v>185</v>
      </c>
      <c r="B152" s="8" t="s">
        <v>76</v>
      </c>
      <c r="C152" s="9" t="s">
        <v>381</v>
      </c>
      <c r="D152" s="8">
        <v>120</v>
      </c>
      <c r="E152" s="8" t="s">
        <v>208</v>
      </c>
      <c r="F152" s="6" t="s">
        <v>3</v>
      </c>
      <c r="G152" s="6" t="s">
        <v>437</v>
      </c>
      <c r="H152" s="6">
        <v>133</v>
      </c>
      <c r="I152" s="6">
        <v>2</v>
      </c>
      <c r="J152" s="7">
        <v>36106</v>
      </c>
      <c r="K152" s="16" t="s">
        <v>210</v>
      </c>
      <c r="L152" s="6">
        <v>16</v>
      </c>
      <c r="M152" s="6">
        <v>11</v>
      </c>
      <c r="N152" s="6"/>
      <c r="O152" s="6" t="s">
        <v>211</v>
      </c>
      <c r="P152" s="6" t="s">
        <v>224</v>
      </c>
      <c r="Q152" s="31" t="s">
        <v>860</v>
      </c>
      <c r="R152" s="9" t="s">
        <v>435</v>
      </c>
      <c r="S152" s="6"/>
      <c r="T152" s="6">
        <v>1</v>
      </c>
      <c r="U152" s="43">
        <f>[141]Tabelle1!$L$3</f>
        <v>24</v>
      </c>
      <c r="V152" s="46">
        <f>[141]Tabelle1!$L$4</f>
        <v>20</v>
      </c>
      <c r="W152" s="6"/>
      <c r="X152" s="6"/>
      <c r="Y152" s="91"/>
      <c r="Z152" s="91"/>
      <c r="AA152" s="25"/>
    </row>
    <row r="153" spans="1:27" s="2" customFormat="1" ht="38.25" customHeight="1" x14ac:dyDescent="0.2">
      <c r="A153" s="38" t="s">
        <v>186</v>
      </c>
      <c r="B153" s="53" t="s">
        <v>416</v>
      </c>
      <c r="C153" s="9" t="s">
        <v>335</v>
      </c>
      <c r="D153" s="8">
        <v>40</v>
      </c>
      <c r="E153" s="8" t="s">
        <v>208</v>
      </c>
      <c r="F153" s="6" t="s">
        <v>3</v>
      </c>
      <c r="G153" s="6" t="s">
        <v>219</v>
      </c>
      <c r="H153" s="6">
        <v>134</v>
      </c>
      <c r="I153" s="6">
        <v>2</v>
      </c>
      <c r="J153" s="71">
        <v>41895</v>
      </c>
      <c r="K153" s="16" t="s">
        <v>515</v>
      </c>
      <c r="L153" s="6">
        <v>8</v>
      </c>
      <c r="M153" s="6">
        <v>0</v>
      </c>
      <c r="N153" s="6" t="s">
        <v>213</v>
      </c>
      <c r="O153" s="6" t="s">
        <v>211</v>
      </c>
      <c r="P153" s="6" t="s">
        <v>224</v>
      </c>
      <c r="Q153" s="31" t="s">
        <v>860</v>
      </c>
      <c r="R153" s="31" t="s">
        <v>435</v>
      </c>
      <c r="S153" s="6"/>
      <c r="T153" s="6">
        <v>2</v>
      </c>
      <c r="U153" s="43">
        <f>[142]Tabelle1!$L$3</f>
        <v>0</v>
      </c>
      <c r="V153" s="80">
        <f>[142]Tabelle1!$L$4</f>
        <v>21</v>
      </c>
      <c r="W153" s="6"/>
      <c r="X153" s="6"/>
      <c r="Y153" s="91"/>
      <c r="Z153" s="91" t="s">
        <v>622</v>
      </c>
      <c r="AA153" s="25"/>
    </row>
    <row r="154" spans="1:27" s="2" customFormat="1" ht="38.25" customHeight="1" x14ac:dyDescent="0.2">
      <c r="A154" s="38" t="s">
        <v>187</v>
      </c>
      <c r="B154" s="8" t="s">
        <v>76</v>
      </c>
      <c r="C154" s="9" t="s">
        <v>335</v>
      </c>
      <c r="D154" s="8">
        <v>140</v>
      </c>
      <c r="E154" s="8" t="s">
        <v>208</v>
      </c>
      <c r="F154" s="6" t="s">
        <v>3</v>
      </c>
      <c r="G154" s="6" t="s">
        <v>259</v>
      </c>
      <c r="H154" s="6">
        <v>235</v>
      </c>
      <c r="I154" s="6">
        <v>2</v>
      </c>
      <c r="J154" s="7">
        <v>28584</v>
      </c>
      <c r="K154" s="16" t="s">
        <v>210</v>
      </c>
      <c r="L154" s="6">
        <v>16</v>
      </c>
      <c r="M154" s="6">
        <v>5</v>
      </c>
      <c r="N154" s="6"/>
      <c r="O154" s="6" t="s">
        <v>211</v>
      </c>
      <c r="P154" s="6" t="s">
        <v>224</v>
      </c>
      <c r="Q154" s="31" t="s">
        <v>860</v>
      </c>
      <c r="R154" s="9" t="s">
        <v>435</v>
      </c>
      <c r="S154" s="6"/>
      <c r="T154" s="6">
        <v>2</v>
      </c>
      <c r="U154" s="43">
        <f>[143]Tabelle1!$L$3</f>
        <v>14</v>
      </c>
      <c r="V154" s="46">
        <f>[143]Tabelle1!$L$4</f>
        <v>0</v>
      </c>
      <c r="W154" s="6"/>
      <c r="X154" s="6"/>
      <c r="Y154" s="91"/>
      <c r="Z154" s="91"/>
      <c r="AA154" s="25"/>
    </row>
    <row r="155" spans="1:27" s="2" customFormat="1" ht="38.25" customHeight="1" x14ac:dyDescent="0.2">
      <c r="A155" s="38" t="s">
        <v>56</v>
      </c>
      <c r="B155" s="8" t="s">
        <v>76</v>
      </c>
      <c r="C155" s="9" t="s">
        <v>303</v>
      </c>
      <c r="D155" s="8">
        <v>40</v>
      </c>
      <c r="E155" s="8" t="s">
        <v>208</v>
      </c>
      <c r="F155" s="6" t="s">
        <v>57</v>
      </c>
      <c r="G155" s="6" t="s">
        <v>220</v>
      </c>
      <c r="H155" s="6">
        <v>258</v>
      </c>
      <c r="I155" s="6">
        <v>1</v>
      </c>
      <c r="J155" s="6">
        <v>28579</v>
      </c>
      <c r="K155" s="16" t="s">
        <v>210</v>
      </c>
      <c r="L155" s="6">
        <v>16</v>
      </c>
      <c r="M155" s="6">
        <v>2</v>
      </c>
      <c r="N155" s="8"/>
      <c r="O155" s="8" t="s">
        <v>211</v>
      </c>
      <c r="P155" s="6" t="s">
        <v>224</v>
      </c>
      <c r="Q155" s="31" t="s">
        <v>860</v>
      </c>
      <c r="R155" s="9" t="s">
        <v>465</v>
      </c>
      <c r="S155" s="6"/>
      <c r="T155" s="6">
        <v>3</v>
      </c>
      <c r="U155" s="43">
        <f>[144]Tabelle1!$L$3</f>
        <v>9</v>
      </c>
      <c r="V155" s="46">
        <f>[144]Tabelle1!$L$4</f>
        <v>0</v>
      </c>
      <c r="W155" s="6"/>
      <c r="X155" s="6"/>
      <c r="Y155" s="91"/>
      <c r="Z155" s="91"/>
      <c r="AA155" s="25"/>
    </row>
    <row r="156" spans="1:27" s="2" customFormat="1" ht="38.25" customHeight="1" x14ac:dyDescent="0.2">
      <c r="A156" s="38" t="s">
        <v>188</v>
      </c>
      <c r="B156" s="8" t="s">
        <v>76</v>
      </c>
      <c r="C156" s="9" t="s">
        <v>383</v>
      </c>
      <c r="D156" s="8" t="s">
        <v>195</v>
      </c>
      <c r="E156" s="8" t="s">
        <v>215</v>
      </c>
      <c r="F156" s="6" t="s">
        <v>57</v>
      </c>
      <c r="G156" s="6" t="s">
        <v>144</v>
      </c>
      <c r="H156" s="6">
        <v>84</v>
      </c>
      <c r="I156" s="6">
        <v>1</v>
      </c>
      <c r="J156" s="7">
        <v>36269</v>
      </c>
      <c r="K156" s="16" t="s">
        <v>210</v>
      </c>
      <c r="L156" s="6">
        <v>24</v>
      </c>
      <c r="M156" s="6">
        <v>23</v>
      </c>
      <c r="N156" s="6"/>
      <c r="O156" s="6" t="s">
        <v>211</v>
      </c>
      <c r="P156" s="6" t="s">
        <v>224</v>
      </c>
      <c r="Q156" s="31" t="s">
        <v>860</v>
      </c>
      <c r="R156" s="9" t="s">
        <v>474</v>
      </c>
      <c r="S156" s="6"/>
      <c r="T156" s="6">
        <v>3</v>
      </c>
      <c r="U156" s="43">
        <f>[145]Tabelle1!$L$3</f>
        <v>90</v>
      </c>
      <c r="V156" s="46">
        <f>[145]Tabelle1!$L$4</f>
        <v>90</v>
      </c>
      <c r="W156" s="6"/>
      <c r="X156" s="6"/>
      <c r="Y156" s="91"/>
      <c r="Z156" s="91"/>
      <c r="AA156" s="25"/>
    </row>
    <row r="157" spans="1:27" s="2" customFormat="1" ht="38.25" customHeight="1" x14ac:dyDescent="0.2">
      <c r="A157" s="39" t="s">
        <v>384</v>
      </c>
      <c r="B157" s="78" t="s">
        <v>416</v>
      </c>
      <c r="C157" s="27" t="s">
        <v>428</v>
      </c>
      <c r="D157" s="27" t="s">
        <v>386</v>
      </c>
      <c r="E157" s="22" t="s">
        <v>215</v>
      </c>
      <c r="F157" s="33" t="s">
        <v>57</v>
      </c>
      <c r="G157" s="33" t="s">
        <v>358</v>
      </c>
      <c r="H157" s="19">
        <v>10</v>
      </c>
      <c r="I157" s="19">
        <v>1</v>
      </c>
      <c r="J157" s="19">
        <v>46944</v>
      </c>
      <c r="K157" s="16" t="s">
        <v>515</v>
      </c>
      <c r="L157" s="19">
        <v>8</v>
      </c>
      <c r="M157" s="19">
        <v>3</v>
      </c>
      <c r="N157" s="19"/>
      <c r="O157" s="19" t="s">
        <v>385</v>
      </c>
      <c r="P157" s="6" t="s">
        <v>417</v>
      </c>
      <c r="Q157" s="31" t="s">
        <v>860</v>
      </c>
      <c r="R157" s="31" t="s">
        <v>465</v>
      </c>
      <c r="S157" s="19"/>
      <c r="T157" s="19">
        <v>2</v>
      </c>
      <c r="U157" s="44">
        <f>[146]Tabelle1!$L$3</f>
        <v>3</v>
      </c>
      <c r="V157" s="47">
        <f>[146]Tabelle1!$L$4</f>
        <v>9</v>
      </c>
      <c r="W157" s="19"/>
      <c r="X157" s="19"/>
      <c r="Y157" s="91" t="s">
        <v>689</v>
      </c>
      <c r="Z157" s="92"/>
      <c r="AA157" s="28"/>
    </row>
    <row r="158" spans="1:27" s="2" customFormat="1" ht="38.25" customHeight="1" x14ac:dyDescent="0.2">
      <c r="A158" s="49" t="s">
        <v>407</v>
      </c>
      <c r="B158" s="50" t="s">
        <v>76</v>
      </c>
      <c r="C158" s="52" t="s">
        <v>381</v>
      </c>
      <c r="D158" s="50">
        <v>150</v>
      </c>
      <c r="E158" s="50" t="s">
        <v>215</v>
      </c>
      <c r="F158" s="42" t="s">
        <v>176</v>
      </c>
      <c r="G158" s="42" t="s">
        <v>264</v>
      </c>
      <c r="H158" s="42">
        <v>43</v>
      </c>
      <c r="I158" s="6">
        <v>2</v>
      </c>
      <c r="J158" s="6">
        <v>33916</v>
      </c>
      <c r="K158" s="16" t="s">
        <v>210</v>
      </c>
      <c r="L158" s="6">
        <v>16</v>
      </c>
      <c r="M158" s="6">
        <v>0</v>
      </c>
      <c r="N158" s="8" t="s">
        <v>408</v>
      </c>
      <c r="O158" s="8" t="s">
        <v>212</v>
      </c>
      <c r="P158" s="6" t="s">
        <v>224</v>
      </c>
      <c r="Q158" s="31" t="s">
        <v>649</v>
      </c>
      <c r="R158" s="9" t="s">
        <v>435</v>
      </c>
      <c r="S158" s="42"/>
      <c r="T158" s="6">
        <v>24</v>
      </c>
      <c r="U158" s="45">
        <f>[147]Tabelle1!$L$3</f>
        <v>48</v>
      </c>
      <c r="V158" s="48">
        <f>[147]Tabelle1!$L$4</f>
        <v>0</v>
      </c>
      <c r="W158" s="42"/>
      <c r="X158" s="42"/>
      <c r="Y158" s="93"/>
      <c r="Z158" s="93"/>
      <c r="AA158" s="51"/>
    </row>
    <row r="159" spans="1:27" s="2" customFormat="1" ht="38.25" customHeight="1" x14ac:dyDescent="0.2">
      <c r="A159" s="38" t="s">
        <v>412</v>
      </c>
      <c r="B159" s="8" t="s">
        <v>76</v>
      </c>
      <c r="C159" s="27" t="s">
        <v>428</v>
      </c>
      <c r="D159" s="8">
        <v>80</v>
      </c>
      <c r="E159" s="8" t="s">
        <v>208</v>
      </c>
      <c r="F159" s="6" t="s">
        <v>3</v>
      </c>
      <c r="G159" s="6" t="s">
        <v>413</v>
      </c>
      <c r="H159" s="6">
        <v>34</v>
      </c>
      <c r="I159" s="6">
        <v>1</v>
      </c>
      <c r="J159" s="6">
        <v>29797</v>
      </c>
      <c r="K159" s="16" t="s">
        <v>210</v>
      </c>
      <c r="L159" s="6">
        <v>16</v>
      </c>
      <c r="M159" s="6">
        <v>4</v>
      </c>
      <c r="N159" s="8"/>
      <c r="O159" s="6" t="s">
        <v>385</v>
      </c>
      <c r="P159" s="6" t="s">
        <v>224</v>
      </c>
      <c r="Q159" s="31" t="s">
        <v>860</v>
      </c>
      <c r="R159" s="9" t="s">
        <v>435</v>
      </c>
      <c r="S159" s="6"/>
      <c r="T159" s="6">
        <v>2</v>
      </c>
      <c r="U159" s="43">
        <f>[148]Tabelle1!$L$3</f>
        <v>27</v>
      </c>
      <c r="V159" s="46">
        <f>[148]Tabelle1!$L$4</f>
        <v>12</v>
      </c>
      <c r="W159" s="17"/>
      <c r="X159" s="6"/>
      <c r="Y159" s="91"/>
      <c r="Z159" s="91"/>
      <c r="AA159" s="25"/>
    </row>
    <row r="160" spans="1:27" s="2" customFormat="1" ht="38.25" customHeight="1" x14ac:dyDescent="0.2">
      <c r="A160" s="38" t="s">
        <v>487</v>
      </c>
      <c r="B160" s="53" t="s">
        <v>416</v>
      </c>
      <c r="C160" s="27" t="s">
        <v>486</v>
      </c>
      <c r="D160" s="8">
        <v>140</v>
      </c>
      <c r="E160" s="8" t="s">
        <v>208</v>
      </c>
      <c r="F160" s="6" t="s">
        <v>3</v>
      </c>
      <c r="G160" s="6" t="s">
        <v>506</v>
      </c>
      <c r="H160" s="6">
        <v>327</v>
      </c>
      <c r="I160" s="6">
        <v>1</v>
      </c>
      <c r="J160" s="72">
        <v>44306</v>
      </c>
      <c r="K160" s="16" t="s">
        <v>515</v>
      </c>
      <c r="L160" s="6" t="s">
        <v>439</v>
      </c>
      <c r="M160" s="6">
        <v>0</v>
      </c>
      <c r="N160" s="8"/>
      <c r="O160" s="6"/>
      <c r="P160" s="6" t="s">
        <v>417</v>
      </c>
      <c r="Q160" s="31" t="s">
        <v>860</v>
      </c>
      <c r="R160" s="31" t="s">
        <v>435</v>
      </c>
      <c r="S160" s="6"/>
      <c r="T160" s="6">
        <v>0</v>
      </c>
      <c r="U160" s="43">
        <f>[149]Tabelle1!$L$3</f>
        <v>826</v>
      </c>
      <c r="V160" s="46">
        <f>[149]Tabelle1!$L$4</f>
        <v>0</v>
      </c>
      <c r="W160" s="17"/>
      <c r="X160" s="6"/>
      <c r="Y160" s="91"/>
      <c r="Z160" s="91"/>
      <c r="AA160" s="25" t="s">
        <v>58</v>
      </c>
    </row>
    <row r="161" spans="1:27" s="2" customFormat="1" ht="38.25" customHeight="1" x14ac:dyDescent="0.2">
      <c r="A161" s="125" t="s">
        <v>418</v>
      </c>
      <c r="B161" s="122" t="s">
        <v>76</v>
      </c>
      <c r="C161" s="118" t="s">
        <v>310</v>
      </c>
      <c r="D161" s="118" t="s">
        <v>421</v>
      </c>
      <c r="E161" s="122" t="s">
        <v>222</v>
      </c>
      <c r="F161" s="121" t="s">
        <v>3</v>
      </c>
      <c r="G161" s="121" t="s">
        <v>422</v>
      </c>
      <c r="H161" s="121">
        <v>99</v>
      </c>
      <c r="I161" s="121">
        <v>2</v>
      </c>
      <c r="J161" s="122">
        <v>33917</v>
      </c>
      <c r="K161" s="118" t="s">
        <v>210</v>
      </c>
      <c r="L161" s="121">
        <v>32</v>
      </c>
      <c r="M161" s="121">
        <v>5</v>
      </c>
      <c r="N161" s="122" t="s">
        <v>408</v>
      </c>
      <c r="O161" s="121" t="s">
        <v>211</v>
      </c>
      <c r="P161" s="121" t="s">
        <v>224</v>
      </c>
      <c r="Q161" s="111" t="s">
        <v>649</v>
      </c>
      <c r="R161" s="111" t="s">
        <v>435</v>
      </c>
      <c r="S161" s="121"/>
      <c r="T161" s="121">
        <v>3</v>
      </c>
      <c r="U161" s="121">
        <f>[150]Tabelle1!$L$3</f>
        <v>8</v>
      </c>
      <c r="V161" s="112">
        <f>[150]Tabelle1!$L$4</f>
        <v>24</v>
      </c>
      <c r="W161" s="121"/>
      <c r="X161" s="121"/>
      <c r="Y161" s="126"/>
      <c r="Z161" s="126"/>
      <c r="AA161" s="127" t="s">
        <v>779</v>
      </c>
    </row>
    <row r="162" spans="1:27" s="2" customFormat="1" ht="38.25" customHeight="1" x14ac:dyDescent="0.2">
      <c r="A162" s="39" t="s">
        <v>423</v>
      </c>
      <c r="B162" s="53" t="s">
        <v>416</v>
      </c>
      <c r="C162" s="27" t="s">
        <v>425</v>
      </c>
      <c r="D162" s="27" t="s">
        <v>424</v>
      </c>
      <c r="E162" s="8" t="s">
        <v>208</v>
      </c>
      <c r="F162" s="6" t="s">
        <v>57</v>
      </c>
      <c r="G162" s="17" t="s">
        <v>275</v>
      </c>
      <c r="H162" s="6">
        <v>74</v>
      </c>
      <c r="I162" s="6">
        <v>1</v>
      </c>
      <c r="J162" s="6">
        <v>46628</v>
      </c>
      <c r="K162" s="16" t="s">
        <v>515</v>
      </c>
      <c r="L162" s="6">
        <v>16</v>
      </c>
      <c r="M162" s="6">
        <v>5</v>
      </c>
      <c r="N162" s="6" t="s">
        <v>524</v>
      </c>
      <c r="O162" s="8" t="s">
        <v>212</v>
      </c>
      <c r="P162" s="6" t="s">
        <v>417</v>
      </c>
      <c r="Q162" s="31" t="s">
        <v>860</v>
      </c>
      <c r="R162" s="31" t="s">
        <v>474</v>
      </c>
      <c r="S162" s="6"/>
      <c r="T162" s="19">
        <v>8</v>
      </c>
      <c r="U162" s="43">
        <f>[151]Tabelle1!$L$3</f>
        <v>166</v>
      </c>
      <c r="V162" s="47">
        <f>[151]Tabelle1!$L$4</f>
        <v>7</v>
      </c>
      <c r="W162" s="6"/>
      <c r="X162" s="6"/>
      <c r="Y162" s="6" t="s">
        <v>692</v>
      </c>
      <c r="Z162" s="6"/>
      <c r="AA162" s="85"/>
    </row>
    <row r="163" spans="1:27" s="2" customFormat="1" ht="38.25" customHeight="1" x14ac:dyDescent="0.2">
      <c r="A163" s="39" t="s">
        <v>456</v>
      </c>
      <c r="B163" s="8" t="s">
        <v>76</v>
      </c>
      <c r="C163" s="27" t="s">
        <v>457</v>
      </c>
      <c r="D163" s="27" t="s">
        <v>87</v>
      </c>
      <c r="E163" s="8" t="s">
        <v>215</v>
      </c>
      <c r="F163" s="6" t="s">
        <v>3</v>
      </c>
      <c r="G163" s="17" t="s">
        <v>263</v>
      </c>
      <c r="H163" s="6">
        <v>128</v>
      </c>
      <c r="I163" s="6">
        <v>2</v>
      </c>
      <c r="J163" s="11">
        <v>37585</v>
      </c>
      <c r="K163" s="16" t="s">
        <v>210</v>
      </c>
      <c r="L163" s="6">
        <v>24</v>
      </c>
      <c r="M163" s="6">
        <v>18</v>
      </c>
      <c r="N163" s="6"/>
      <c r="O163" s="19" t="s">
        <v>211</v>
      </c>
      <c r="P163" s="19" t="s">
        <v>224</v>
      </c>
      <c r="Q163" s="31" t="s">
        <v>860</v>
      </c>
      <c r="R163" s="9" t="s">
        <v>435</v>
      </c>
      <c r="S163" s="6"/>
      <c r="T163" s="6">
        <v>4</v>
      </c>
      <c r="U163" s="43">
        <f>[152]Tabelle1!$L$3</f>
        <v>40</v>
      </c>
      <c r="V163" s="47">
        <f>[152]Tabelle1!$L$4</f>
        <v>24</v>
      </c>
      <c r="W163" s="6"/>
      <c r="X163" s="6"/>
      <c r="Y163" s="91"/>
      <c r="Z163" s="91"/>
      <c r="AA163" s="25" t="s">
        <v>461</v>
      </c>
    </row>
    <row r="164" spans="1:27" s="2" customFormat="1" ht="38.25" customHeight="1" x14ac:dyDescent="0.2">
      <c r="A164" s="39" t="s">
        <v>458</v>
      </c>
      <c r="B164" s="59" t="s">
        <v>459</v>
      </c>
      <c r="C164" s="27" t="s">
        <v>460</v>
      </c>
      <c r="D164" s="27"/>
      <c r="E164" s="8"/>
      <c r="F164" s="6" t="s">
        <v>53</v>
      </c>
      <c r="G164" s="17"/>
      <c r="H164" s="6"/>
      <c r="I164" s="6">
        <v>5</v>
      </c>
      <c r="J164" s="11"/>
      <c r="K164" s="16"/>
      <c r="L164" s="6"/>
      <c r="M164" s="6"/>
      <c r="N164" s="6"/>
      <c r="O164" s="6"/>
      <c r="P164" s="6"/>
      <c r="Q164" s="31" t="s">
        <v>649</v>
      </c>
      <c r="R164" s="31"/>
      <c r="S164" s="6"/>
      <c r="T164" s="6"/>
      <c r="U164" s="43"/>
      <c r="V164" s="47"/>
      <c r="W164" s="6"/>
      <c r="X164" s="6"/>
      <c r="Y164" s="91"/>
      <c r="Z164" s="91"/>
      <c r="AA164" s="25" t="s">
        <v>525</v>
      </c>
    </row>
    <row r="165" spans="1:27" s="2" customFormat="1" ht="38.25" customHeight="1" x14ac:dyDescent="0.2">
      <c r="A165" s="109" t="s">
        <v>475</v>
      </c>
      <c r="B165" s="110" t="s">
        <v>76</v>
      </c>
      <c r="C165" s="111" t="s">
        <v>335</v>
      </c>
      <c r="D165" s="111" t="s">
        <v>198</v>
      </c>
      <c r="E165" s="110" t="s">
        <v>222</v>
      </c>
      <c r="F165" s="112" t="s">
        <v>3</v>
      </c>
      <c r="G165" s="112" t="s">
        <v>258</v>
      </c>
      <c r="H165" s="112">
        <v>135</v>
      </c>
      <c r="I165" s="112">
        <v>2</v>
      </c>
      <c r="J165" s="123">
        <v>29790</v>
      </c>
      <c r="K165" s="111" t="s">
        <v>209</v>
      </c>
      <c r="L165" s="112">
        <v>16</v>
      </c>
      <c r="M165" s="112">
        <v>2</v>
      </c>
      <c r="N165" s="112"/>
      <c r="O165" s="110" t="s">
        <v>211</v>
      </c>
      <c r="P165" s="112">
        <v>2000</v>
      </c>
      <c r="Q165" s="111" t="s">
        <v>649</v>
      </c>
      <c r="R165" s="111" t="s">
        <v>474</v>
      </c>
      <c r="S165" s="112"/>
      <c r="T165" s="121">
        <v>7</v>
      </c>
      <c r="U165" s="112">
        <f>[153]Tabelle1!$L$3</f>
        <v>0</v>
      </c>
      <c r="V165" s="121">
        <f>[153]Tabelle1!$L$4</f>
        <v>7</v>
      </c>
      <c r="W165" s="112"/>
      <c r="X165" s="112"/>
      <c r="Y165" s="114"/>
      <c r="Z165" s="114"/>
      <c r="AA165" s="120" t="s">
        <v>599</v>
      </c>
    </row>
    <row r="166" spans="1:27" s="2" customFormat="1" ht="38.25" customHeight="1" x14ac:dyDescent="0.2">
      <c r="A166" s="39" t="s">
        <v>490</v>
      </c>
      <c r="B166" s="8" t="s">
        <v>539</v>
      </c>
      <c r="C166" s="9" t="s">
        <v>493</v>
      </c>
      <c r="D166" s="22">
        <v>40</v>
      </c>
      <c r="E166" s="22" t="s">
        <v>441</v>
      </c>
      <c r="F166" s="33" t="s">
        <v>57</v>
      </c>
      <c r="G166" s="33" t="s">
        <v>523</v>
      </c>
      <c r="H166" s="19">
        <v>24</v>
      </c>
      <c r="I166" s="19">
        <v>2</v>
      </c>
      <c r="J166" s="69">
        <v>47438</v>
      </c>
      <c r="K166" s="34" t="s">
        <v>477</v>
      </c>
      <c r="L166" s="19">
        <v>16</v>
      </c>
      <c r="M166" s="19">
        <v>0</v>
      </c>
      <c r="N166" s="19" t="s">
        <v>213</v>
      </c>
      <c r="O166" s="22" t="s">
        <v>491</v>
      </c>
      <c r="P166" s="19" t="s">
        <v>488</v>
      </c>
      <c r="Q166" s="31" t="s">
        <v>860</v>
      </c>
      <c r="R166" s="31" t="s">
        <v>492</v>
      </c>
      <c r="S166" s="19"/>
      <c r="T166" s="19">
        <v>12</v>
      </c>
      <c r="U166" s="43">
        <f>[154]Tabelle1!$L$3</f>
        <v>0</v>
      </c>
      <c r="V166" s="81">
        <f>[154]Tabelle1!$L$4</f>
        <v>20</v>
      </c>
      <c r="W166" s="19"/>
      <c r="X166" s="19"/>
      <c r="Y166" s="6" t="s">
        <v>685</v>
      </c>
      <c r="Z166" s="91" t="s">
        <v>641</v>
      </c>
      <c r="AA166" s="57" t="s">
        <v>538</v>
      </c>
    </row>
    <row r="167" spans="1:27" s="2" customFormat="1" ht="38.25" customHeight="1" x14ac:dyDescent="0.2">
      <c r="A167" s="109" t="s">
        <v>497</v>
      </c>
      <c r="B167" s="110" t="s">
        <v>76</v>
      </c>
      <c r="C167" s="111" t="s">
        <v>498</v>
      </c>
      <c r="D167" s="110">
        <v>120</v>
      </c>
      <c r="E167" s="110" t="s">
        <v>222</v>
      </c>
      <c r="F167" s="112" t="s">
        <v>3</v>
      </c>
      <c r="G167" s="112" t="s">
        <v>500</v>
      </c>
      <c r="H167" s="112">
        <v>106</v>
      </c>
      <c r="I167" s="112">
        <v>2</v>
      </c>
      <c r="J167" s="112">
        <v>33975</v>
      </c>
      <c r="K167" s="111" t="s">
        <v>210</v>
      </c>
      <c r="L167" s="112">
        <v>16</v>
      </c>
      <c r="M167" s="112">
        <v>16</v>
      </c>
      <c r="N167" s="112"/>
      <c r="O167" s="110" t="s">
        <v>499</v>
      </c>
      <c r="P167" s="112" t="s">
        <v>224</v>
      </c>
      <c r="Q167" s="111" t="s">
        <v>649</v>
      </c>
      <c r="R167" s="111" t="s">
        <v>492</v>
      </c>
      <c r="S167" s="112"/>
      <c r="T167" s="112">
        <v>1</v>
      </c>
      <c r="U167" s="112">
        <f>[155]Tabelle1!$L$3</f>
        <v>0</v>
      </c>
      <c r="V167" s="121">
        <f>[155]Tabelle1!$L$4</f>
        <v>19</v>
      </c>
      <c r="W167" s="112"/>
      <c r="X167" s="112"/>
      <c r="Y167" s="114"/>
      <c r="Z167" s="114"/>
      <c r="AA167" s="120" t="s">
        <v>779</v>
      </c>
    </row>
    <row r="168" spans="1:27" s="2" customFormat="1" ht="38.25" customHeight="1" x14ac:dyDescent="0.2">
      <c r="A168" s="39" t="s">
        <v>509</v>
      </c>
      <c r="B168" s="78" t="s">
        <v>416</v>
      </c>
      <c r="C168" s="9" t="s">
        <v>510</v>
      </c>
      <c r="D168" s="9" t="s">
        <v>511</v>
      </c>
      <c r="E168" s="22" t="s">
        <v>441</v>
      </c>
      <c r="F168" s="33" t="s">
        <v>57</v>
      </c>
      <c r="G168" s="33" t="s">
        <v>787</v>
      </c>
      <c r="H168" s="19">
        <v>16</v>
      </c>
      <c r="I168" s="19">
        <v>1</v>
      </c>
      <c r="J168" s="19">
        <v>46477</v>
      </c>
      <c r="K168" s="16" t="s">
        <v>515</v>
      </c>
      <c r="L168" s="19">
        <v>8</v>
      </c>
      <c r="M168" s="19">
        <v>0</v>
      </c>
      <c r="N168" s="19" t="s">
        <v>359</v>
      </c>
      <c r="O168" s="22" t="s">
        <v>212</v>
      </c>
      <c r="P168" s="19" t="s">
        <v>417</v>
      </c>
      <c r="Q168" s="31" t="s">
        <v>860</v>
      </c>
      <c r="R168" s="27"/>
      <c r="S168" s="19"/>
      <c r="T168" s="19">
        <v>66</v>
      </c>
      <c r="U168" s="43">
        <f>[156]Tabelle1!$L$3</f>
        <v>0</v>
      </c>
      <c r="V168" s="47">
        <f>[156]Tabelle1!$L$4</f>
        <v>154</v>
      </c>
      <c r="W168" s="19"/>
      <c r="X168" s="19"/>
      <c r="Y168" s="19" t="s">
        <v>682</v>
      </c>
      <c r="Z168" s="19"/>
      <c r="AA168" s="79"/>
    </row>
    <row r="169" spans="1:27" s="2" customFormat="1" ht="38.25" customHeight="1" x14ac:dyDescent="0.2">
      <c r="A169" s="39" t="s">
        <v>518</v>
      </c>
      <c r="B169" s="8" t="s">
        <v>519</v>
      </c>
      <c r="C169" s="9" t="s">
        <v>521</v>
      </c>
      <c r="D169" s="9"/>
      <c r="E169" s="8" t="s">
        <v>441</v>
      </c>
      <c r="F169" s="15" t="s">
        <v>3</v>
      </c>
      <c r="G169" s="15" t="s">
        <v>656</v>
      </c>
      <c r="H169" s="6"/>
      <c r="I169" s="6">
        <v>3</v>
      </c>
      <c r="J169" s="6"/>
      <c r="K169" s="16" t="s">
        <v>515</v>
      </c>
      <c r="L169" s="6">
        <v>0</v>
      </c>
      <c r="M169" s="6">
        <v>0</v>
      </c>
      <c r="N169" s="6"/>
      <c r="O169" s="8" t="s">
        <v>520</v>
      </c>
      <c r="P169" s="19" t="s">
        <v>417</v>
      </c>
      <c r="Q169" s="31" t="s">
        <v>860</v>
      </c>
      <c r="R169" s="9"/>
      <c r="S169" s="6"/>
      <c r="T169" s="6"/>
      <c r="U169" s="43">
        <v>0</v>
      </c>
      <c r="V169" s="47">
        <v>0</v>
      </c>
      <c r="W169" s="6"/>
      <c r="X169" s="6"/>
      <c r="Y169" s="6"/>
      <c r="Z169" s="6"/>
      <c r="AA169" s="79" t="s">
        <v>542</v>
      </c>
    </row>
    <row r="170" spans="1:27" s="2" customFormat="1" ht="37.5" customHeight="1" x14ac:dyDescent="0.2">
      <c r="A170" s="39" t="s">
        <v>531</v>
      </c>
      <c r="B170" s="8" t="s">
        <v>539</v>
      </c>
      <c r="C170" s="27" t="s">
        <v>310</v>
      </c>
      <c r="D170" s="8">
        <v>10</v>
      </c>
      <c r="E170" s="8" t="s">
        <v>441</v>
      </c>
      <c r="F170" s="15" t="s">
        <v>57</v>
      </c>
      <c r="G170" s="75" t="s">
        <v>522</v>
      </c>
      <c r="H170" s="15">
        <v>87</v>
      </c>
      <c r="I170" s="6">
        <v>2</v>
      </c>
      <c r="J170" s="6">
        <v>39829</v>
      </c>
      <c r="K170" s="34" t="s">
        <v>515</v>
      </c>
      <c r="L170" s="6">
        <v>16</v>
      </c>
      <c r="M170" s="6">
        <v>3</v>
      </c>
      <c r="N170" s="6"/>
      <c r="O170" s="8" t="s">
        <v>211</v>
      </c>
      <c r="P170" s="6" t="s">
        <v>417</v>
      </c>
      <c r="Q170" s="31" t="s">
        <v>860</v>
      </c>
      <c r="R170" s="31"/>
      <c r="S170" s="6"/>
      <c r="T170" s="6">
        <v>1</v>
      </c>
      <c r="U170" s="43">
        <f>[157]Tabelle1!$L$3</f>
        <v>0</v>
      </c>
      <c r="V170" s="47">
        <f>[157]Tabelle1!$L$4</f>
        <v>4</v>
      </c>
      <c r="W170" s="6"/>
      <c r="X170" s="6"/>
      <c r="Y170" s="91" t="s">
        <v>687</v>
      </c>
      <c r="Z170" s="91"/>
      <c r="AA170" s="57"/>
    </row>
    <row r="171" spans="1:27" s="2" customFormat="1" ht="37.5" customHeight="1" x14ac:dyDescent="0.2">
      <c r="A171" s="39" t="s">
        <v>532</v>
      </c>
      <c r="B171" s="78" t="s">
        <v>416</v>
      </c>
      <c r="C171" s="9" t="s">
        <v>335</v>
      </c>
      <c r="D171" s="8">
        <v>180</v>
      </c>
      <c r="E171" s="8" t="s">
        <v>208</v>
      </c>
      <c r="F171" s="15" t="s">
        <v>3</v>
      </c>
      <c r="G171" s="75" t="s">
        <v>600</v>
      </c>
      <c r="H171" s="15">
        <v>294</v>
      </c>
      <c r="I171" s="6">
        <v>3</v>
      </c>
      <c r="J171" s="6">
        <v>46984</v>
      </c>
      <c r="K171" s="34" t="s">
        <v>515</v>
      </c>
      <c r="L171" s="6">
        <v>16</v>
      </c>
      <c r="M171" s="6">
        <v>0</v>
      </c>
      <c r="N171" s="6" t="s">
        <v>213</v>
      </c>
      <c r="O171" s="8" t="s">
        <v>211</v>
      </c>
      <c r="P171" s="6" t="s">
        <v>417</v>
      </c>
      <c r="Q171" s="31" t="s">
        <v>860</v>
      </c>
      <c r="R171" s="31"/>
      <c r="S171" s="6"/>
      <c r="T171" s="6">
        <v>1</v>
      </c>
      <c r="U171" s="43">
        <f>[158]Tabelle1!$L$3</f>
        <v>60</v>
      </c>
      <c r="V171" s="47">
        <f>[158]Tabelle1!$L$4</f>
        <v>0</v>
      </c>
      <c r="W171" s="6"/>
      <c r="X171" s="6"/>
      <c r="Y171" s="91" t="s">
        <v>688</v>
      </c>
      <c r="Z171" s="91"/>
      <c r="AA171" s="57"/>
    </row>
    <row r="172" spans="1:27" s="2" customFormat="1" ht="37.5" customHeight="1" x14ac:dyDescent="0.2">
      <c r="A172" s="39" t="s">
        <v>535</v>
      </c>
      <c r="B172" s="8" t="s">
        <v>76</v>
      </c>
      <c r="C172" s="9" t="s">
        <v>380</v>
      </c>
      <c r="D172" s="8" t="s">
        <v>214</v>
      </c>
      <c r="E172" s="8" t="s">
        <v>215</v>
      </c>
      <c r="F172" s="6" t="s">
        <v>176</v>
      </c>
      <c r="G172" s="6" t="s">
        <v>217</v>
      </c>
      <c r="H172" s="6">
        <v>45</v>
      </c>
      <c r="I172" s="6">
        <v>2</v>
      </c>
      <c r="J172" s="8">
        <v>30317</v>
      </c>
      <c r="K172" s="16" t="s">
        <v>210</v>
      </c>
      <c r="L172" s="6">
        <v>0</v>
      </c>
      <c r="M172" s="6">
        <v>0</v>
      </c>
      <c r="N172" s="6" t="s">
        <v>213</v>
      </c>
      <c r="O172" s="6" t="s">
        <v>212</v>
      </c>
      <c r="P172" s="6" t="s">
        <v>224</v>
      </c>
      <c r="Q172" s="31" t="s">
        <v>649</v>
      </c>
      <c r="R172" s="9" t="s">
        <v>435</v>
      </c>
      <c r="S172" s="6"/>
      <c r="T172" s="6">
        <v>10</v>
      </c>
      <c r="U172" s="43">
        <f>[159]Tabelle1!$L$3</f>
        <v>30</v>
      </c>
      <c r="V172" s="46">
        <f>[159]Tabelle1!$L$4</f>
        <v>0</v>
      </c>
      <c r="W172" s="6"/>
      <c r="X172" s="6"/>
      <c r="Y172" s="91"/>
      <c r="Z172" s="91"/>
      <c r="AA172" s="57"/>
    </row>
    <row r="173" spans="1:27" s="2" customFormat="1" ht="37.5" customHeight="1" x14ac:dyDescent="0.2">
      <c r="A173" s="39" t="s">
        <v>543</v>
      </c>
      <c r="B173" s="53" t="s">
        <v>416</v>
      </c>
      <c r="C173" s="9" t="s">
        <v>544</v>
      </c>
      <c r="D173" s="8">
        <v>40</v>
      </c>
      <c r="E173" s="8" t="s">
        <v>547</v>
      </c>
      <c r="F173" s="6" t="s">
        <v>3</v>
      </c>
      <c r="G173" s="6" t="s">
        <v>714</v>
      </c>
      <c r="H173" s="6">
        <v>33</v>
      </c>
      <c r="I173" s="6">
        <v>3</v>
      </c>
      <c r="J173" s="8">
        <v>47125</v>
      </c>
      <c r="K173" s="34" t="s">
        <v>515</v>
      </c>
      <c r="L173" s="6">
        <v>24</v>
      </c>
      <c r="M173" s="6">
        <v>0</v>
      </c>
      <c r="N173" s="6" t="s">
        <v>213</v>
      </c>
      <c r="O173" s="6" t="s">
        <v>211</v>
      </c>
      <c r="P173" s="6" t="s">
        <v>417</v>
      </c>
      <c r="Q173" s="31" t="s">
        <v>860</v>
      </c>
      <c r="R173" s="31" t="s">
        <v>545</v>
      </c>
      <c r="S173" s="6"/>
      <c r="T173" s="6">
        <v>1</v>
      </c>
      <c r="U173" s="43">
        <f>[160]Tabelle1!$L$3</f>
        <v>0</v>
      </c>
      <c r="V173" s="46">
        <f>[160]Tabelle1!$L$4</f>
        <v>1</v>
      </c>
      <c r="W173" s="6"/>
      <c r="X173" s="6"/>
      <c r="Y173" s="91" t="s">
        <v>684</v>
      </c>
      <c r="Z173" s="91"/>
      <c r="AA173" s="86" t="s">
        <v>551</v>
      </c>
    </row>
    <row r="174" spans="1:27" s="2" customFormat="1" ht="37.5" customHeight="1" x14ac:dyDescent="0.2">
      <c r="A174" s="39" t="s">
        <v>546</v>
      </c>
      <c r="B174" s="53" t="s">
        <v>416</v>
      </c>
      <c r="C174" s="9" t="s">
        <v>558</v>
      </c>
      <c r="D174" s="8" t="s">
        <v>347</v>
      </c>
      <c r="E174" s="8" t="s">
        <v>547</v>
      </c>
      <c r="F174" s="6" t="s">
        <v>3</v>
      </c>
      <c r="G174" s="6" t="s">
        <v>252</v>
      </c>
      <c r="H174" s="6">
        <v>92</v>
      </c>
      <c r="I174" s="6"/>
      <c r="J174" s="8">
        <v>47126</v>
      </c>
      <c r="K174" s="34" t="s">
        <v>548</v>
      </c>
      <c r="L174" s="6">
        <v>32</v>
      </c>
      <c r="M174" s="6">
        <v>17</v>
      </c>
      <c r="N174" s="6"/>
      <c r="O174" s="6" t="s">
        <v>211</v>
      </c>
      <c r="P174" s="6" t="s">
        <v>417</v>
      </c>
      <c r="Q174" s="31" t="s">
        <v>860</v>
      </c>
      <c r="R174" s="31" t="s">
        <v>545</v>
      </c>
      <c r="S174" s="6"/>
      <c r="T174" s="6"/>
      <c r="U174" s="43">
        <f>[161]Tabelle1!$L$3</f>
        <v>9</v>
      </c>
      <c r="V174" s="46">
        <f>[161]Tabelle1!$L$4</f>
        <v>4</v>
      </c>
      <c r="W174" s="6"/>
      <c r="X174" s="6"/>
      <c r="Y174" s="91"/>
      <c r="Z174" s="91"/>
      <c r="AA174" s="86" t="s">
        <v>556</v>
      </c>
    </row>
    <row r="175" spans="1:27" s="26" customFormat="1" ht="37.5" customHeight="1" x14ac:dyDescent="0.2">
      <c r="A175" s="101" t="s">
        <v>549</v>
      </c>
      <c r="B175" s="102" t="s">
        <v>416</v>
      </c>
      <c r="C175" s="103" t="s">
        <v>550</v>
      </c>
      <c r="D175" s="102" t="s">
        <v>195</v>
      </c>
      <c r="E175" s="102" t="s">
        <v>552</v>
      </c>
      <c r="F175" s="104"/>
      <c r="G175" s="104"/>
      <c r="H175" s="104"/>
      <c r="I175" s="104"/>
      <c r="J175" s="102"/>
      <c r="K175" s="160" t="s">
        <v>515</v>
      </c>
      <c r="L175" s="104">
        <v>16</v>
      </c>
      <c r="M175" s="104">
        <v>6</v>
      </c>
      <c r="N175" s="104"/>
      <c r="O175" s="104"/>
      <c r="P175" s="104" t="s">
        <v>417</v>
      </c>
      <c r="Q175" s="103" t="s">
        <v>649</v>
      </c>
      <c r="R175" s="160" t="s">
        <v>540</v>
      </c>
      <c r="S175" s="104"/>
      <c r="T175" s="104"/>
      <c r="U175" s="104">
        <f>[162]Tabelle1!$L$3</f>
        <v>4</v>
      </c>
      <c r="V175" s="104">
        <f>[162]Tabelle1!$L$4</f>
        <v>8</v>
      </c>
      <c r="W175" s="104"/>
      <c r="X175" s="104"/>
      <c r="Y175" s="105"/>
      <c r="Z175" s="105"/>
      <c r="AA175" s="106" t="s">
        <v>658</v>
      </c>
    </row>
    <row r="176" spans="1:27" s="26" customFormat="1" ht="37.5" customHeight="1" x14ac:dyDescent="0.2">
      <c r="A176" s="101" t="s">
        <v>553</v>
      </c>
      <c r="B176" s="102" t="s">
        <v>416</v>
      </c>
      <c r="C176" s="103" t="s">
        <v>559</v>
      </c>
      <c r="D176" s="102">
        <v>140</v>
      </c>
      <c r="E176" s="102" t="s">
        <v>552</v>
      </c>
      <c r="F176" s="104" t="s">
        <v>3</v>
      </c>
      <c r="G176" s="104" t="s">
        <v>554</v>
      </c>
      <c r="H176" s="104">
        <v>48</v>
      </c>
      <c r="I176" s="104">
        <v>2</v>
      </c>
      <c r="J176" s="104">
        <v>47097</v>
      </c>
      <c r="K176" s="160" t="s">
        <v>515</v>
      </c>
      <c r="L176" s="104">
        <v>4</v>
      </c>
      <c r="M176" s="104">
        <v>3</v>
      </c>
      <c r="N176" s="102" t="s">
        <v>213</v>
      </c>
      <c r="O176" s="104" t="s">
        <v>211</v>
      </c>
      <c r="P176" s="104" t="s">
        <v>417</v>
      </c>
      <c r="Q176" s="103" t="s">
        <v>860</v>
      </c>
      <c r="R176" s="160" t="s">
        <v>537</v>
      </c>
      <c r="S176" s="104"/>
      <c r="T176" s="104"/>
      <c r="U176" s="104">
        <f>[163]Tabelle1!$L$3</f>
        <v>21</v>
      </c>
      <c r="V176" s="104">
        <f>[163]Tabelle1!$L$4</f>
        <v>0</v>
      </c>
      <c r="W176" s="104"/>
      <c r="X176" s="104"/>
      <c r="Y176" s="105" t="s">
        <v>686</v>
      </c>
      <c r="Z176" s="105"/>
      <c r="AA176" s="106" t="s">
        <v>555</v>
      </c>
    </row>
    <row r="177" spans="1:27" s="26" customFormat="1" ht="37.5" customHeight="1" x14ac:dyDescent="0.2">
      <c r="A177" s="39" t="s">
        <v>560</v>
      </c>
      <c r="B177" s="53" t="s">
        <v>539</v>
      </c>
      <c r="C177" s="9" t="s">
        <v>440</v>
      </c>
      <c r="D177" s="8">
        <v>40</v>
      </c>
      <c r="E177" s="8" t="s">
        <v>208</v>
      </c>
      <c r="F177" s="6" t="s">
        <v>3</v>
      </c>
      <c r="G177" s="6" t="s">
        <v>56</v>
      </c>
      <c r="H177" s="6">
        <v>20</v>
      </c>
      <c r="I177" s="6"/>
      <c r="J177" s="6">
        <v>47365</v>
      </c>
      <c r="K177" s="34" t="s">
        <v>548</v>
      </c>
      <c r="L177" s="6">
        <v>4</v>
      </c>
      <c r="M177" s="6">
        <v>0</v>
      </c>
      <c r="N177" s="8" t="s">
        <v>213</v>
      </c>
      <c r="O177" s="6"/>
      <c r="P177" s="6" t="s">
        <v>417</v>
      </c>
      <c r="Q177" s="31" t="s">
        <v>860</v>
      </c>
      <c r="R177" s="31" t="s">
        <v>561</v>
      </c>
      <c r="S177" s="6"/>
      <c r="T177" s="6"/>
      <c r="U177" s="43">
        <f>[164]Tabelle1!$L$3</f>
        <v>0</v>
      </c>
      <c r="V177" s="46">
        <f>[164]Tabelle1!$L$4</f>
        <v>8</v>
      </c>
      <c r="W177" s="6"/>
      <c r="X177" s="6"/>
      <c r="Y177" s="91"/>
      <c r="Z177" s="91"/>
      <c r="AA177" s="57"/>
    </row>
    <row r="178" spans="1:27" s="26" customFormat="1" ht="37.5" customHeight="1" x14ac:dyDescent="0.2">
      <c r="A178" s="39" t="s">
        <v>562</v>
      </c>
      <c r="B178" s="8" t="s">
        <v>539</v>
      </c>
      <c r="C178" s="16" t="s">
        <v>550</v>
      </c>
      <c r="D178" s="87">
        <v>140</v>
      </c>
      <c r="E178" s="8" t="s">
        <v>208</v>
      </c>
      <c r="F178" s="6" t="s">
        <v>3</v>
      </c>
      <c r="G178" s="6" t="s">
        <v>789</v>
      </c>
      <c r="H178" s="6">
        <v>89</v>
      </c>
      <c r="I178" s="6"/>
      <c r="J178" s="6">
        <v>47511</v>
      </c>
      <c r="K178" s="9" t="s">
        <v>515</v>
      </c>
      <c r="L178" s="6"/>
      <c r="M178" s="6"/>
      <c r="N178" s="6"/>
      <c r="O178" s="8" t="s">
        <v>211</v>
      </c>
      <c r="P178" s="6" t="s">
        <v>577</v>
      </c>
      <c r="Q178" s="31" t="s">
        <v>860</v>
      </c>
      <c r="R178" s="31"/>
      <c r="S178" s="6"/>
      <c r="T178" s="6"/>
      <c r="U178" s="43"/>
      <c r="V178" s="46"/>
      <c r="W178" s="6"/>
      <c r="X178" s="6"/>
      <c r="Y178" s="91"/>
      <c r="Z178" s="91" t="s">
        <v>633</v>
      </c>
      <c r="AA178" s="88"/>
    </row>
    <row r="179" spans="1:27" s="26" customFormat="1" ht="37.5" customHeight="1" x14ac:dyDescent="0.2">
      <c r="A179" s="101" t="s">
        <v>654</v>
      </c>
      <c r="B179" s="102" t="s">
        <v>416</v>
      </c>
      <c r="C179" s="103" t="s">
        <v>550</v>
      </c>
      <c r="D179" s="102">
        <v>40</v>
      </c>
      <c r="E179" s="102" t="s">
        <v>552</v>
      </c>
      <c r="F179" s="104"/>
      <c r="G179" s="104"/>
      <c r="H179" s="104"/>
      <c r="I179" s="104"/>
      <c r="J179" s="104">
        <v>47121</v>
      </c>
      <c r="K179" s="103"/>
      <c r="L179" s="104">
        <v>16</v>
      </c>
      <c r="M179" s="104"/>
      <c r="N179" s="102"/>
      <c r="O179" s="104"/>
      <c r="P179" s="104"/>
      <c r="Q179" s="103"/>
      <c r="R179" s="103"/>
      <c r="S179" s="104"/>
      <c r="T179" s="104"/>
      <c r="U179" s="104"/>
      <c r="V179" s="104"/>
      <c r="W179" s="104"/>
      <c r="X179" s="104"/>
      <c r="Y179" s="105" t="s">
        <v>684</v>
      </c>
      <c r="Z179" s="105"/>
      <c r="AA179" s="106" t="s">
        <v>758</v>
      </c>
    </row>
    <row r="180" spans="1:27" s="26" customFormat="1" ht="37.5" customHeight="1" x14ac:dyDescent="0.2">
      <c r="A180" s="39" t="s">
        <v>563</v>
      </c>
      <c r="B180" s="53" t="s">
        <v>416</v>
      </c>
      <c r="C180" s="9" t="s">
        <v>565</v>
      </c>
      <c r="D180" s="8">
        <v>60</v>
      </c>
      <c r="E180" s="8" t="s">
        <v>547</v>
      </c>
      <c r="F180" s="6" t="s">
        <v>57</v>
      </c>
      <c r="G180" s="6" t="s">
        <v>704</v>
      </c>
      <c r="H180" s="6">
        <v>62</v>
      </c>
      <c r="I180" s="6"/>
      <c r="J180" s="6">
        <v>47122</v>
      </c>
      <c r="K180" s="16" t="s">
        <v>323</v>
      </c>
      <c r="L180" s="6">
        <v>16</v>
      </c>
      <c r="M180" s="6">
        <v>1</v>
      </c>
      <c r="N180" s="8"/>
      <c r="O180" s="6" t="s">
        <v>211</v>
      </c>
      <c r="P180" s="6" t="s">
        <v>417</v>
      </c>
      <c r="Q180" s="31" t="s">
        <v>860</v>
      </c>
      <c r="R180" s="31"/>
      <c r="S180" s="6"/>
      <c r="T180" s="6"/>
      <c r="U180" s="43"/>
      <c r="V180" s="46"/>
      <c r="W180" s="6"/>
      <c r="X180" s="6"/>
      <c r="Y180" s="91" t="s">
        <v>684</v>
      </c>
      <c r="Z180" s="91"/>
      <c r="AA180" s="86" t="s">
        <v>564</v>
      </c>
    </row>
    <row r="181" spans="1:27" s="26" customFormat="1" ht="37.5" customHeight="1" x14ac:dyDescent="0.2">
      <c r="A181" s="39" t="s">
        <v>566</v>
      </c>
      <c r="B181" s="87" t="s">
        <v>539</v>
      </c>
      <c r="C181" s="9" t="s">
        <v>567</v>
      </c>
      <c r="D181" s="8"/>
      <c r="E181" s="8" t="s">
        <v>568</v>
      </c>
      <c r="F181" s="6" t="s">
        <v>3</v>
      </c>
      <c r="G181" s="6" t="s">
        <v>581</v>
      </c>
      <c r="H181" s="6">
        <v>89</v>
      </c>
      <c r="I181" s="6"/>
      <c r="J181" s="6">
        <v>47049</v>
      </c>
      <c r="K181" s="34" t="s">
        <v>548</v>
      </c>
      <c r="L181" s="6">
        <v>16</v>
      </c>
      <c r="M181" s="6">
        <v>2</v>
      </c>
      <c r="N181" s="8"/>
      <c r="O181" s="8"/>
      <c r="P181" s="6"/>
      <c r="Q181" s="31" t="s">
        <v>649</v>
      </c>
      <c r="R181" s="9"/>
      <c r="S181" s="6"/>
      <c r="T181" s="6"/>
      <c r="U181" s="43"/>
      <c r="V181" s="46"/>
      <c r="W181" s="6"/>
      <c r="X181" s="6"/>
      <c r="Y181" s="6" t="s">
        <v>685</v>
      </c>
      <c r="Z181" s="91"/>
      <c r="AA181" s="88" t="s">
        <v>601</v>
      </c>
    </row>
    <row r="182" spans="1:27" s="26" customFormat="1" ht="37.5" customHeight="1" x14ac:dyDescent="0.2">
      <c r="A182" s="101" t="s">
        <v>570</v>
      </c>
      <c r="B182" s="102" t="s">
        <v>416</v>
      </c>
      <c r="C182" s="103" t="s">
        <v>576</v>
      </c>
      <c r="D182" s="102">
        <v>70</v>
      </c>
      <c r="E182" s="102" t="s">
        <v>552</v>
      </c>
      <c r="F182" s="104"/>
      <c r="G182" s="104"/>
      <c r="H182" s="104"/>
      <c r="I182" s="104"/>
      <c r="J182" s="104">
        <v>47377</v>
      </c>
      <c r="K182" s="103" t="s">
        <v>323</v>
      </c>
      <c r="L182" s="104">
        <v>16</v>
      </c>
      <c r="M182" s="104">
        <v>0</v>
      </c>
      <c r="N182" s="104"/>
      <c r="O182" s="102" t="s">
        <v>211</v>
      </c>
      <c r="P182" s="104" t="s">
        <v>577</v>
      </c>
      <c r="Q182" s="103" t="s">
        <v>649</v>
      </c>
      <c r="R182" s="103"/>
      <c r="S182" s="104"/>
      <c r="T182" s="104">
        <v>2</v>
      </c>
      <c r="U182" s="104"/>
      <c r="V182" s="104"/>
      <c r="W182" s="104"/>
      <c r="X182" s="104"/>
      <c r="Y182" s="105"/>
      <c r="Z182" s="105"/>
      <c r="AA182" s="106" t="s">
        <v>575</v>
      </c>
    </row>
    <row r="183" spans="1:27" s="26" customFormat="1" ht="37.5" customHeight="1" x14ac:dyDescent="0.2">
      <c r="A183" s="101" t="s">
        <v>571</v>
      </c>
      <c r="B183" s="102" t="s">
        <v>416</v>
      </c>
      <c r="C183" s="103" t="s">
        <v>576</v>
      </c>
      <c r="D183" s="102">
        <v>110</v>
      </c>
      <c r="E183" s="102" t="s">
        <v>552</v>
      </c>
      <c r="F183" s="104"/>
      <c r="G183" s="104"/>
      <c r="H183" s="104"/>
      <c r="I183" s="104"/>
      <c r="J183" s="72">
        <v>47378</v>
      </c>
      <c r="K183" s="103" t="s">
        <v>323</v>
      </c>
      <c r="L183" s="104">
        <v>16</v>
      </c>
      <c r="M183" s="104">
        <v>0</v>
      </c>
      <c r="N183" s="104"/>
      <c r="O183" s="102" t="s">
        <v>211</v>
      </c>
      <c r="P183" s="104" t="s">
        <v>577</v>
      </c>
      <c r="Q183" s="103" t="s">
        <v>649</v>
      </c>
      <c r="R183" s="103"/>
      <c r="S183" s="104"/>
      <c r="T183" s="104">
        <v>1</v>
      </c>
      <c r="U183" s="104"/>
      <c r="V183" s="104"/>
      <c r="W183" s="104"/>
      <c r="X183" s="104"/>
      <c r="Y183" s="105"/>
      <c r="Z183" s="105"/>
      <c r="AA183" s="106" t="s">
        <v>575</v>
      </c>
    </row>
    <row r="184" spans="1:27" s="26" customFormat="1" ht="37.5" customHeight="1" x14ac:dyDescent="0.2">
      <c r="A184" s="101" t="s">
        <v>572</v>
      </c>
      <c r="B184" s="102" t="s">
        <v>416</v>
      </c>
      <c r="C184" s="103" t="s">
        <v>576</v>
      </c>
      <c r="D184" s="102">
        <v>120</v>
      </c>
      <c r="E184" s="102" t="s">
        <v>552</v>
      </c>
      <c r="F184" s="104"/>
      <c r="G184" s="104"/>
      <c r="H184" s="104"/>
      <c r="I184" s="104"/>
      <c r="J184" s="72">
        <v>47380</v>
      </c>
      <c r="K184" s="103" t="s">
        <v>548</v>
      </c>
      <c r="L184" s="104">
        <v>16</v>
      </c>
      <c r="M184" s="104">
        <v>0</v>
      </c>
      <c r="N184" s="104"/>
      <c r="O184" s="102" t="s">
        <v>211</v>
      </c>
      <c r="P184" s="104" t="s">
        <v>577</v>
      </c>
      <c r="Q184" s="103" t="s">
        <v>649</v>
      </c>
      <c r="R184" s="103"/>
      <c r="S184" s="104"/>
      <c r="T184" s="104">
        <v>1</v>
      </c>
      <c r="U184" s="104"/>
      <c r="V184" s="104"/>
      <c r="W184" s="104"/>
      <c r="X184" s="104"/>
      <c r="Y184" s="105"/>
      <c r="Z184" s="105"/>
      <c r="AA184" s="106" t="s">
        <v>575</v>
      </c>
    </row>
    <row r="185" spans="1:27" s="26" customFormat="1" ht="37.5" customHeight="1" x14ac:dyDescent="0.2">
      <c r="A185" s="101" t="s">
        <v>574</v>
      </c>
      <c r="B185" s="102" t="s">
        <v>539</v>
      </c>
      <c r="C185" s="103" t="s">
        <v>576</v>
      </c>
      <c r="D185" s="102">
        <v>190</v>
      </c>
      <c r="E185" s="102" t="s">
        <v>552</v>
      </c>
      <c r="F185" s="104"/>
      <c r="G185" s="104"/>
      <c r="H185" s="104"/>
      <c r="I185" s="104"/>
      <c r="J185" s="104">
        <v>47383</v>
      </c>
      <c r="K185" s="103" t="s">
        <v>548</v>
      </c>
      <c r="L185" s="104">
        <v>4</v>
      </c>
      <c r="M185" s="104"/>
      <c r="N185" s="104" t="s">
        <v>213</v>
      </c>
      <c r="O185" s="102" t="s">
        <v>211</v>
      </c>
      <c r="P185" s="104" t="s">
        <v>577</v>
      </c>
      <c r="Q185" s="103" t="s">
        <v>649</v>
      </c>
      <c r="R185" s="103"/>
      <c r="S185" s="104"/>
      <c r="T185" s="104">
        <v>1</v>
      </c>
      <c r="U185" s="104"/>
      <c r="V185" s="104"/>
      <c r="W185" s="104"/>
      <c r="X185" s="104"/>
      <c r="Y185" s="105"/>
      <c r="Z185" s="105"/>
      <c r="AA185" s="106" t="s">
        <v>575</v>
      </c>
    </row>
    <row r="186" spans="1:27" s="26" customFormat="1" ht="37.5" customHeight="1" x14ac:dyDescent="0.2">
      <c r="A186" s="101" t="s">
        <v>579</v>
      </c>
      <c r="B186" s="102"/>
      <c r="C186" s="160" t="s">
        <v>486</v>
      </c>
      <c r="D186" s="102">
        <v>130</v>
      </c>
      <c r="E186" s="102" t="s">
        <v>552</v>
      </c>
      <c r="F186" s="104"/>
      <c r="G186" s="104"/>
      <c r="H186" s="104"/>
      <c r="I186" s="104"/>
      <c r="J186" s="104"/>
      <c r="K186" s="103" t="s">
        <v>548</v>
      </c>
      <c r="L186" s="104">
        <v>4</v>
      </c>
      <c r="M186" s="104"/>
      <c r="N186" s="104"/>
      <c r="O186" s="102"/>
      <c r="P186" s="104" t="s">
        <v>577</v>
      </c>
      <c r="Q186" s="103" t="s">
        <v>649</v>
      </c>
      <c r="R186" s="103"/>
      <c r="S186" s="104"/>
      <c r="T186" s="104"/>
      <c r="U186" s="104"/>
      <c r="V186" s="104"/>
      <c r="W186" s="104"/>
      <c r="X186" s="104"/>
      <c r="Y186" s="105"/>
      <c r="Z186" s="105"/>
      <c r="AA186" s="106" t="s">
        <v>580</v>
      </c>
    </row>
    <row r="187" spans="1:27" s="26" customFormat="1" ht="37.5" customHeight="1" x14ac:dyDescent="0.2">
      <c r="A187" s="39" t="s">
        <v>582</v>
      </c>
      <c r="B187" s="53" t="s">
        <v>416</v>
      </c>
      <c r="C187" s="9" t="s">
        <v>335</v>
      </c>
      <c r="D187" s="8"/>
      <c r="E187" s="8" t="s">
        <v>547</v>
      </c>
      <c r="F187" s="6" t="s">
        <v>3</v>
      </c>
      <c r="G187" s="6" t="s">
        <v>597</v>
      </c>
      <c r="H187" s="6">
        <v>63</v>
      </c>
      <c r="I187" s="6"/>
      <c r="J187" s="6">
        <v>47430</v>
      </c>
      <c r="K187" s="34" t="s">
        <v>548</v>
      </c>
      <c r="L187" s="6"/>
      <c r="M187" s="6"/>
      <c r="N187" s="6"/>
      <c r="O187" s="8"/>
      <c r="P187" s="6" t="s">
        <v>577</v>
      </c>
      <c r="Q187" s="31" t="s">
        <v>860</v>
      </c>
      <c r="R187" s="31"/>
      <c r="S187" s="6"/>
      <c r="T187" s="6"/>
      <c r="U187" s="43"/>
      <c r="V187" s="46"/>
      <c r="W187" s="6"/>
      <c r="X187" s="6"/>
      <c r="Y187" s="6" t="s">
        <v>679</v>
      </c>
      <c r="Z187" s="91"/>
      <c r="AA187" s="86" t="s">
        <v>598</v>
      </c>
    </row>
    <row r="188" spans="1:27" s="26" customFormat="1" ht="37.5" customHeight="1" x14ac:dyDescent="0.2">
      <c r="A188" s="39" t="s">
        <v>591</v>
      </c>
      <c r="B188" s="53" t="s">
        <v>416</v>
      </c>
      <c r="C188" s="9" t="s">
        <v>335</v>
      </c>
      <c r="D188" s="8"/>
      <c r="E188" s="8" t="s">
        <v>547</v>
      </c>
      <c r="F188" s="6" t="s">
        <v>3</v>
      </c>
      <c r="G188" s="6" t="s">
        <v>597</v>
      </c>
      <c r="H188" s="6">
        <v>71</v>
      </c>
      <c r="I188" s="6"/>
      <c r="J188" s="6">
        <v>47124</v>
      </c>
      <c r="K188" s="16" t="s">
        <v>323</v>
      </c>
      <c r="L188" s="6">
        <v>16</v>
      </c>
      <c r="M188" s="6">
        <v>0</v>
      </c>
      <c r="N188" s="8"/>
      <c r="O188" s="8"/>
      <c r="P188" s="6" t="s">
        <v>417</v>
      </c>
      <c r="Q188" s="31" t="s">
        <v>860</v>
      </c>
      <c r="R188" s="31"/>
      <c r="S188" s="6"/>
      <c r="T188" s="6"/>
      <c r="U188" s="43"/>
      <c r="V188" s="46"/>
      <c r="W188" s="6"/>
      <c r="X188" s="6"/>
      <c r="Y188" s="91" t="s">
        <v>684</v>
      </c>
      <c r="Z188" s="91"/>
      <c r="AA188" s="86" t="s">
        <v>569</v>
      </c>
    </row>
    <row r="189" spans="1:27" s="26" customFormat="1" ht="37.5" customHeight="1" x14ac:dyDescent="0.2">
      <c r="A189" s="39" t="s">
        <v>592</v>
      </c>
      <c r="B189" s="53" t="s">
        <v>539</v>
      </c>
      <c r="C189" s="9" t="s">
        <v>565</v>
      </c>
      <c r="D189" s="8">
        <v>195</v>
      </c>
      <c r="E189" s="8" t="s">
        <v>208</v>
      </c>
      <c r="F189" s="6" t="s">
        <v>3</v>
      </c>
      <c r="G189" s="6" t="s">
        <v>635</v>
      </c>
      <c r="H189" s="6">
        <v>49</v>
      </c>
      <c r="I189" s="6"/>
      <c r="J189" s="6">
        <v>47366</v>
      </c>
      <c r="K189" s="34" t="s">
        <v>548</v>
      </c>
      <c r="L189" s="6">
        <v>4</v>
      </c>
      <c r="M189" s="6"/>
      <c r="N189" s="8"/>
      <c r="O189" s="8"/>
      <c r="P189" s="6" t="s">
        <v>417</v>
      </c>
      <c r="Q189" s="31" t="s">
        <v>860</v>
      </c>
      <c r="R189" s="31"/>
      <c r="S189" s="6"/>
      <c r="T189" s="6"/>
      <c r="U189" s="43"/>
      <c r="V189" s="46"/>
      <c r="W189" s="6"/>
      <c r="X189" s="6"/>
      <c r="Y189" s="91"/>
      <c r="Z189" s="91"/>
      <c r="AA189" s="57" t="s">
        <v>593</v>
      </c>
    </row>
    <row r="190" spans="1:27" s="26" customFormat="1" ht="37.5" customHeight="1" x14ac:dyDescent="0.2">
      <c r="A190" s="39" t="s">
        <v>594</v>
      </c>
      <c r="B190" s="53" t="s">
        <v>416</v>
      </c>
      <c r="C190" s="9" t="s">
        <v>335</v>
      </c>
      <c r="D190" s="8"/>
      <c r="E190" s="8" t="s">
        <v>547</v>
      </c>
      <c r="F190" s="6" t="s">
        <v>3</v>
      </c>
      <c r="G190" s="6" t="s">
        <v>606</v>
      </c>
      <c r="H190" s="6">
        <v>64</v>
      </c>
      <c r="I190" s="6"/>
      <c r="J190" s="6">
        <v>47432</v>
      </c>
      <c r="K190" s="34" t="s">
        <v>548</v>
      </c>
      <c r="L190" s="6"/>
      <c r="M190" s="6"/>
      <c r="N190" s="6"/>
      <c r="O190" s="8"/>
      <c r="P190" s="6" t="s">
        <v>577</v>
      </c>
      <c r="Q190" s="31" t="s">
        <v>860</v>
      </c>
      <c r="R190" s="31"/>
      <c r="S190" s="6"/>
      <c r="T190" s="6"/>
      <c r="U190" s="43"/>
      <c r="V190" s="46"/>
      <c r="W190" s="6"/>
      <c r="X190" s="6"/>
      <c r="Y190" s="6" t="s">
        <v>679</v>
      </c>
      <c r="Z190" s="91"/>
      <c r="AA190" s="86" t="s">
        <v>598</v>
      </c>
    </row>
    <row r="191" spans="1:27" s="26" customFormat="1" ht="37.5" customHeight="1" x14ac:dyDescent="0.2">
      <c r="A191" s="101" t="s">
        <v>603</v>
      </c>
      <c r="B191" s="102" t="s">
        <v>416</v>
      </c>
      <c r="C191" s="103" t="s">
        <v>335</v>
      </c>
      <c r="D191" s="102" t="s">
        <v>604</v>
      </c>
      <c r="E191" s="102" t="s">
        <v>552</v>
      </c>
      <c r="F191" s="104"/>
      <c r="G191" s="104"/>
      <c r="H191" s="104"/>
      <c r="I191" s="104"/>
      <c r="J191" s="104">
        <v>47431</v>
      </c>
      <c r="K191" s="160" t="s">
        <v>548</v>
      </c>
      <c r="L191" s="104"/>
      <c r="M191" s="104"/>
      <c r="N191" s="104"/>
      <c r="O191" s="102"/>
      <c r="P191" s="104" t="s">
        <v>577</v>
      </c>
      <c r="Q191" s="103" t="s">
        <v>649</v>
      </c>
      <c r="R191" s="103"/>
      <c r="S191" s="104"/>
      <c r="T191" s="104">
        <v>1</v>
      </c>
      <c r="U191" s="104">
        <f>[165]Tabelle1!$L$3</f>
        <v>0</v>
      </c>
      <c r="V191" s="104">
        <f>[165]Tabelle1!$L$4</f>
        <v>7</v>
      </c>
      <c r="W191" s="104"/>
      <c r="X191" s="104"/>
      <c r="Y191" s="104" t="s">
        <v>679</v>
      </c>
      <c r="Z191" s="105"/>
      <c r="AA191" s="106" t="s">
        <v>662</v>
      </c>
    </row>
    <row r="192" spans="1:27" s="26" customFormat="1" ht="37.5" customHeight="1" x14ac:dyDescent="0.2">
      <c r="A192" s="39" t="s">
        <v>637</v>
      </c>
      <c r="B192" s="53" t="s">
        <v>539</v>
      </c>
      <c r="C192" s="9" t="s">
        <v>356</v>
      </c>
      <c r="D192" s="8" t="s">
        <v>639</v>
      </c>
      <c r="E192" s="8" t="s">
        <v>208</v>
      </c>
      <c r="F192" s="6" t="s">
        <v>3</v>
      </c>
      <c r="G192" s="6" t="s">
        <v>638</v>
      </c>
      <c r="H192" s="6">
        <v>68</v>
      </c>
      <c r="I192" s="6"/>
      <c r="J192" s="6">
        <v>47437</v>
      </c>
      <c r="K192" s="16" t="s">
        <v>548</v>
      </c>
      <c r="L192" s="6">
        <v>4</v>
      </c>
      <c r="M192" s="6">
        <v>1</v>
      </c>
      <c r="N192" s="6"/>
      <c r="O192" s="8"/>
      <c r="P192" s="6" t="s">
        <v>577</v>
      </c>
      <c r="Q192" s="31" t="s">
        <v>860</v>
      </c>
      <c r="R192" s="31"/>
      <c r="S192" s="6"/>
      <c r="T192" s="6">
        <v>1</v>
      </c>
      <c r="U192" s="43">
        <f>[166]Tabelle1!$L$3</f>
        <v>0</v>
      </c>
      <c r="V192" s="46">
        <f>[167]Tabelle1!$L$4</f>
        <v>4</v>
      </c>
      <c r="W192" s="6"/>
      <c r="X192" s="6"/>
      <c r="Y192" s="91" t="s">
        <v>677</v>
      </c>
      <c r="Z192" s="91" t="s">
        <v>640</v>
      </c>
      <c r="AA192" s="88"/>
    </row>
    <row r="193" spans="1:27" s="26" customFormat="1" ht="37.5" customHeight="1" x14ac:dyDescent="0.2">
      <c r="A193" s="39" t="s">
        <v>659</v>
      </c>
      <c r="B193" s="53" t="s">
        <v>416</v>
      </c>
      <c r="C193" s="9" t="s">
        <v>341</v>
      </c>
      <c r="D193" s="8">
        <v>140</v>
      </c>
      <c r="E193" s="8" t="s">
        <v>547</v>
      </c>
      <c r="F193" s="6" t="s">
        <v>3</v>
      </c>
      <c r="G193" s="6" t="s">
        <v>602</v>
      </c>
      <c r="H193" s="6">
        <v>96</v>
      </c>
      <c r="I193" s="6"/>
      <c r="J193" s="6">
        <v>48154</v>
      </c>
      <c r="K193" s="16" t="s">
        <v>660</v>
      </c>
      <c r="L193" s="6">
        <v>16</v>
      </c>
      <c r="M193" s="6">
        <v>5</v>
      </c>
      <c r="N193" s="6"/>
      <c r="O193" s="8"/>
      <c r="P193" s="6" t="s">
        <v>577</v>
      </c>
      <c r="Q193" s="31" t="s">
        <v>860</v>
      </c>
      <c r="R193" s="31"/>
      <c r="S193" s="6"/>
      <c r="T193" s="6">
        <v>1</v>
      </c>
      <c r="U193" s="43">
        <f>[168]Tabelle1!$L$3</f>
        <v>5</v>
      </c>
      <c r="V193" s="46">
        <f>[168]Tabelle1!$L$4</f>
        <v>3</v>
      </c>
      <c r="W193" s="6"/>
      <c r="X193" s="6"/>
      <c r="Y193" s="91" t="s">
        <v>676</v>
      </c>
      <c r="Z193" s="91" t="s">
        <v>763</v>
      </c>
      <c r="AA193" s="88"/>
    </row>
    <row r="194" spans="1:27" s="26" customFormat="1" ht="37.5" customHeight="1" x14ac:dyDescent="0.2">
      <c r="A194" s="39" t="s">
        <v>663</v>
      </c>
      <c r="B194" s="53" t="s">
        <v>416</v>
      </c>
      <c r="C194" s="9" t="s">
        <v>341</v>
      </c>
      <c r="D194" s="8" t="s">
        <v>195</v>
      </c>
      <c r="E194" s="8" t="s">
        <v>547</v>
      </c>
      <c r="F194" s="6" t="s">
        <v>57</v>
      </c>
      <c r="G194" s="6" t="s">
        <v>703</v>
      </c>
      <c r="H194" s="6">
        <v>110</v>
      </c>
      <c r="I194" s="6"/>
      <c r="J194" s="6">
        <v>48151</v>
      </c>
      <c r="K194" s="16" t="s">
        <v>660</v>
      </c>
      <c r="L194" s="6">
        <v>16</v>
      </c>
      <c r="M194" s="6">
        <v>9</v>
      </c>
      <c r="N194" s="6"/>
      <c r="O194" s="8"/>
      <c r="P194" s="6" t="s">
        <v>577</v>
      </c>
      <c r="Q194" s="31" t="s">
        <v>860</v>
      </c>
      <c r="R194" s="31"/>
      <c r="S194" s="6"/>
      <c r="T194" s="6">
        <v>1</v>
      </c>
      <c r="U194" s="43">
        <f>[169]Tabelle1!$L$3</f>
        <v>5</v>
      </c>
      <c r="V194" s="46">
        <f>[168]Tabelle1!$L$4</f>
        <v>3</v>
      </c>
      <c r="W194" s="6"/>
      <c r="X194" s="6"/>
      <c r="Y194" s="91" t="s">
        <v>676</v>
      </c>
      <c r="Z194" s="91" t="s">
        <v>764</v>
      </c>
      <c r="AA194" s="88"/>
    </row>
    <row r="195" spans="1:27" s="26" customFormat="1" ht="37.5" customHeight="1" x14ac:dyDescent="0.2">
      <c r="A195" s="39" t="s">
        <v>668</v>
      </c>
      <c r="B195" s="53" t="s">
        <v>416</v>
      </c>
      <c r="C195" s="9" t="s">
        <v>669</v>
      </c>
      <c r="D195" s="8">
        <v>220</v>
      </c>
      <c r="E195" s="8" t="s">
        <v>547</v>
      </c>
      <c r="F195" s="6" t="s">
        <v>3</v>
      </c>
      <c r="G195" s="6" t="s">
        <v>672</v>
      </c>
      <c r="H195" s="6">
        <v>97</v>
      </c>
      <c r="I195" s="6"/>
      <c r="J195" s="6">
        <v>48152</v>
      </c>
      <c r="K195" s="16" t="s">
        <v>660</v>
      </c>
      <c r="L195" s="6">
        <v>16</v>
      </c>
      <c r="M195" s="6">
        <v>8</v>
      </c>
      <c r="N195" s="6"/>
      <c r="O195" s="8"/>
      <c r="P195" s="6" t="s">
        <v>577</v>
      </c>
      <c r="Q195" s="31" t="s">
        <v>860</v>
      </c>
      <c r="R195" s="31"/>
      <c r="S195" s="6"/>
      <c r="T195" s="6">
        <v>1</v>
      </c>
      <c r="U195" s="43">
        <f>[170]Tabelle1!$L$3</f>
        <v>12</v>
      </c>
      <c r="V195" s="46">
        <f>[171]Tabelle1!$L$4</f>
        <v>6</v>
      </c>
      <c r="W195" s="6"/>
      <c r="X195" s="6"/>
      <c r="Y195" s="91" t="s">
        <v>676</v>
      </c>
      <c r="Z195" s="91" t="s">
        <v>760</v>
      </c>
      <c r="AA195" s="88"/>
    </row>
    <row r="196" spans="1:27" s="26" customFormat="1" ht="37.5" customHeight="1" x14ac:dyDescent="0.2">
      <c r="A196" s="39" t="s">
        <v>666</v>
      </c>
      <c r="B196" s="53" t="s">
        <v>416</v>
      </c>
      <c r="C196" s="9" t="s">
        <v>670</v>
      </c>
      <c r="D196" s="8">
        <v>140</v>
      </c>
      <c r="E196" s="8" t="s">
        <v>547</v>
      </c>
      <c r="F196" s="6" t="s">
        <v>3</v>
      </c>
      <c r="G196" s="6" t="s">
        <v>789</v>
      </c>
      <c r="H196" s="6">
        <v>98</v>
      </c>
      <c r="I196" s="6"/>
      <c r="J196" s="6">
        <v>48153</v>
      </c>
      <c r="K196" s="16" t="s">
        <v>660</v>
      </c>
      <c r="L196" s="6">
        <v>16</v>
      </c>
      <c r="M196" s="6">
        <v>6</v>
      </c>
      <c r="N196" s="6"/>
      <c r="O196" s="8"/>
      <c r="P196" s="6" t="s">
        <v>577</v>
      </c>
      <c r="Q196" s="31" t="s">
        <v>860</v>
      </c>
      <c r="R196" s="31"/>
      <c r="S196" s="6"/>
      <c r="T196" s="6">
        <v>1</v>
      </c>
      <c r="U196" s="43">
        <f>[172]Tabelle1!$L$3</f>
        <v>3</v>
      </c>
      <c r="V196" s="46">
        <f>[171]Tabelle1!$L$4</f>
        <v>6</v>
      </c>
      <c r="W196" s="6"/>
      <c r="X196" s="6"/>
      <c r="Y196" s="91" t="s">
        <v>676</v>
      </c>
      <c r="Z196" s="91" t="s">
        <v>759</v>
      </c>
      <c r="AA196" s="88"/>
    </row>
    <row r="197" spans="1:27" s="26" customFormat="1" ht="37.5" customHeight="1" x14ac:dyDescent="0.2">
      <c r="A197" s="39" t="s">
        <v>667</v>
      </c>
      <c r="B197" s="53" t="s">
        <v>416</v>
      </c>
      <c r="C197" s="9" t="s">
        <v>670</v>
      </c>
      <c r="D197" s="8" t="s">
        <v>195</v>
      </c>
      <c r="E197" s="8" t="s">
        <v>547</v>
      </c>
      <c r="F197" s="6" t="s">
        <v>57</v>
      </c>
      <c r="G197" s="6" t="s">
        <v>671</v>
      </c>
      <c r="H197" s="6">
        <v>116</v>
      </c>
      <c r="I197" s="6"/>
      <c r="J197" s="6">
        <v>47911</v>
      </c>
      <c r="K197" s="16" t="s">
        <v>660</v>
      </c>
      <c r="L197" s="6">
        <v>16</v>
      </c>
      <c r="M197" s="6">
        <v>12</v>
      </c>
      <c r="N197" s="6"/>
      <c r="O197" s="8"/>
      <c r="P197" s="6" t="s">
        <v>577</v>
      </c>
      <c r="Q197" s="31" t="s">
        <v>860</v>
      </c>
      <c r="R197" s="31"/>
      <c r="S197" s="6"/>
      <c r="T197" s="6">
        <v>1</v>
      </c>
      <c r="U197" s="43">
        <f>[173]Tabelle1!$L$3</f>
        <v>7</v>
      </c>
      <c r="V197" s="46">
        <f>[172]Tabelle1!$L$4</f>
        <v>6</v>
      </c>
      <c r="W197" s="6"/>
      <c r="X197" s="6"/>
      <c r="Y197" s="91"/>
      <c r="Z197" s="91" t="s">
        <v>765</v>
      </c>
      <c r="AA197" s="88"/>
    </row>
    <row r="198" spans="1:27" s="26" customFormat="1" ht="37.5" customHeight="1" x14ac:dyDescent="0.2">
      <c r="A198" s="39" t="s">
        <v>698</v>
      </c>
      <c r="B198" s="53" t="s">
        <v>539</v>
      </c>
      <c r="C198" s="9" t="s">
        <v>699</v>
      </c>
      <c r="D198" s="8">
        <v>10</v>
      </c>
      <c r="E198" s="8" t="s">
        <v>215</v>
      </c>
      <c r="F198" s="6" t="s">
        <v>57</v>
      </c>
      <c r="G198" s="6" t="s">
        <v>700</v>
      </c>
      <c r="H198" s="6">
        <v>251</v>
      </c>
      <c r="I198" s="6"/>
      <c r="J198" s="6">
        <v>31536</v>
      </c>
      <c r="K198" s="16" t="s">
        <v>701</v>
      </c>
      <c r="L198" s="6">
        <v>4</v>
      </c>
      <c r="M198" s="6">
        <v>4</v>
      </c>
      <c r="N198" s="6"/>
      <c r="O198" s="8"/>
      <c r="P198" s="6" t="s">
        <v>224</v>
      </c>
      <c r="Q198" s="31" t="s">
        <v>860</v>
      </c>
      <c r="R198" s="31"/>
      <c r="S198" s="6"/>
      <c r="T198" s="6"/>
      <c r="U198" s="43">
        <v>0</v>
      </c>
      <c r="V198" s="46">
        <v>0</v>
      </c>
      <c r="W198" s="6"/>
      <c r="X198" s="6"/>
      <c r="Y198" s="91"/>
      <c r="Z198" s="91"/>
      <c r="AA198" s="88" t="s">
        <v>702</v>
      </c>
    </row>
    <row r="199" spans="1:27" s="26" customFormat="1" ht="37.5" customHeight="1" x14ac:dyDescent="0.2">
      <c r="A199" s="39" t="s">
        <v>705</v>
      </c>
      <c r="B199" s="53" t="s">
        <v>539</v>
      </c>
      <c r="C199" s="9" t="s">
        <v>699</v>
      </c>
      <c r="D199" s="8">
        <v>140</v>
      </c>
      <c r="E199" s="8" t="s">
        <v>708</v>
      </c>
      <c r="F199" s="6" t="s">
        <v>57</v>
      </c>
      <c r="G199" s="6" t="s">
        <v>704</v>
      </c>
      <c r="H199" s="6">
        <v>103</v>
      </c>
      <c r="I199" s="6"/>
      <c r="J199" s="6">
        <v>47382</v>
      </c>
      <c r="K199" s="16" t="s">
        <v>548</v>
      </c>
      <c r="L199" s="6">
        <v>4</v>
      </c>
      <c r="M199" s="6">
        <v>2</v>
      </c>
      <c r="N199" s="6"/>
      <c r="O199" s="8" t="s">
        <v>211</v>
      </c>
      <c r="P199" s="6" t="s">
        <v>577</v>
      </c>
      <c r="Q199" s="31" t="s">
        <v>860</v>
      </c>
      <c r="R199" s="31"/>
      <c r="S199" s="6"/>
      <c r="T199" s="6"/>
      <c r="U199" s="43"/>
      <c r="V199" s="46"/>
      <c r="W199" s="6"/>
      <c r="X199" s="6"/>
      <c r="Y199" s="91"/>
      <c r="Z199" s="91" t="s">
        <v>709</v>
      </c>
      <c r="AA199" s="88" t="s">
        <v>580</v>
      </c>
    </row>
    <row r="200" spans="1:27" s="26" customFormat="1" ht="37.5" customHeight="1" x14ac:dyDescent="0.2">
      <c r="A200" s="39" t="s">
        <v>706</v>
      </c>
      <c r="B200" s="53" t="s">
        <v>539</v>
      </c>
      <c r="C200" s="9" t="s">
        <v>310</v>
      </c>
      <c r="D200" s="8">
        <v>30</v>
      </c>
      <c r="E200" s="8" t="s">
        <v>708</v>
      </c>
      <c r="F200" s="6" t="s">
        <v>3</v>
      </c>
      <c r="G200" s="6" t="s">
        <v>718</v>
      </c>
      <c r="H200" s="6">
        <v>102</v>
      </c>
      <c r="I200" s="6"/>
      <c r="J200" s="6">
        <v>47381</v>
      </c>
      <c r="K200" s="16" t="s">
        <v>548</v>
      </c>
      <c r="L200" s="6">
        <v>4</v>
      </c>
      <c r="M200" s="6">
        <v>1</v>
      </c>
      <c r="N200" s="6"/>
      <c r="O200" s="8" t="s">
        <v>211</v>
      </c>
      <c r="P200" s="6" t="s">
        <v>577</v>
      </c>
      <c r="Q200" s="31" t="s">
        <v>860</v>
      </c>
      <c r="R200" s="31"/>
      <c r="S200" s="6"/>
      <c r="T200" s="6"/>
      <c r="U200" s="43"/>
      <c r="V200" s="46"/>
      <c r="W200" s="6"/>
      <c r="X200" s="6"/>
      <c r="Y200" s="91"/>
      <c r="Z200" s="91" t="s">
        <v>717</v>
      </c>
      <c r="AA200" s="88" t="s">
        <v>580</v>
      </c>
    </row>
    <row r="201" spans="1:27" s="26" customFormat="1" ht="37.5" customHeight="1" x14ac:dyDescent="0.2">
      <c r="A201" s="39" t="s">
        <v>707</v>
      </c>
      <c r="B201" s="53" t="s">
        <v>539</v>
      </c>
      <c r="C201" s="9" t="s">
        <v>711</v>
      </c>
      <c r="D201" s="8">
        <v>180</v>
      </c>
      <c r="E201" s="8" t="s">
        <v>708</v>
      </c>
      <c r="F201" s="6" t="s">
        <v>3</v>
      </c>
      <c r="G201" s="6" t="s">
        <v>844</v>
      </c>
      <c r="H201" s="6">
        <v>31</v>
      </c>
      <c r="I201" s="6"/>
      <c r="J201" s="6">
        <v>47384</v>
      </c>
      <c r="K201" s="16" t="s">
        <v>548</v>
      </c>
      <c r="L201" s="6">
        <v>4</v>
      </c>
      <c r="M201" s="6">
        <v>4</v>
      </c>
      <c r="N201" s="6" t="s">
        <v>213</v>
      </c>
      <c r="O201" s="8" t="s">
        <v>211</v>
      </c>
      <c r="P201" s="6" t="s">
        <v>577</v>
      </c>
      <c r="Q201" s="31" t="s">
        <v>860</v>
      </c>
      <c r="R201" s="31"/>
      <c r="S201" s="6"/>
      <c r="T201" s="6"/>
      <c r="U201" s="43"/>
      <c r="V201" s="46"/>
      <c r="W201" s="6"/>
      <c r="X201" s="6"/>
      <c r="Y201" s="91"/>
      <c r="Z201" s="91" t="s">
        <v>710</v>
      </c>
      <c r="AA201" s="88" t="s">
        <v>580</v>
      </c>
    </row>
    <row r="202" spans="1:27" s="26" customFormat="1" ht="37.5" customHeight="1" x14ac:dyDescent="0.2">
      <c r="A202" s="39" t="s">
        <v>712</v>
      </c>
      <c r="B202" s="53" t="s">
        <v>416</v>
      </c>
      <c r="C202" s="9" t="s">
        <v>842</v>
      </c>
      <c r="D202" s="8">
        <v>40</v>
      </c>
      <c r="E202" s="8" t="s">
        <v>708</v>
      </c>
      <c r="F202" s="6" t="s">
        <v>3</v>
      </c>
      <c r="G202" s="6" t="s">
        <v>605</v>
      </c>
      <c r="H202" s="6">
        <v>93</v>
      </c>
      <c r="I202" s="6"/>
      <c r="J202" s="8">
        <v>29522</v>
      </c>
      <c r="K202" s="16" t="s">
        <v>210</v>
      </c>
      <c r="L202" s="6">
        <v>16</v>
      </c>
      <c r="M202" s="6">
        <v>0</v>
      </c>
      <c r="N202" s="8" t="s">
        <v>529</v>
      </c>
      <c r="O202" s="8" t="s">
        <v>211</v>
      </c>
      <c r="P202" s="6" t="s">
        <v>224</v>
      </c>
      <c r="Q202" s="31" t="s">
        <v>860</v>
      </c>
      <c r="R202" s="31" t="s">
        <v>545</v>
      </c>
      <c r="S202" s="6"/>
      <c r="T202" s="6">
        <v>1</v>
      </c>
      <c r="U202" s="43">
        <f>[174]Tabelle1!$L$3</f>
        <v>0</v>
      </c>
      <c r="V202" s="46">
        <f>[174]Tabelle1!$L$4</f>
        <v>8</v>
      </c>
      <c r="W202" s="6"/>
      <c r="X202" s="6"/>
      <c r="Y202" s="91"/>
      <c r="Z202" s="91"/>
      <c r="AA202" s="88"/>
    </row>
    <row r="203" spans="1:27" s="26" customFormat="1" ht="37.5" customHeight="1" x14ac:dyDescent="0.2">
      <c r="A203" s="39" t="s">
        <v>720</v>
      </c>
      <c r="B203" s="53" t="s">
        <v>416</v>
      </c>
      <c r="C203" s="9" t="s">
        <v>723</v>
      </c>
      <c r="D203" s="8" t="s">
        <v>195</v>
      </c>
      <c r="E203" s="8" t="s">
        <v>547</v>
      </c>
      <c r="F203" s="6" t="s">
        <v>57</v>
      </c>
      <c r="G203" s="6" t="s">
        <v>788</v>
      </c>
      <c r="H203" s="6">
        <v>132</v>
      </c>
      <c r="I203" s="6"/>
      <c r="J203" s="8">
        <v>47121</v>
      </c>
      <c r="K203" s="16" t="s">
        <v>548</v>
      </c>
      <c r="L203" s="6">
        <v>16</v>
      </c>
      <c r="M203" s="6">
        <v>9</v>
      </c>
      <c r="N203" s="8"/>
      <c r="O203" s="8" t="s">
        <v>211</v>
      </c>
      <c r="P203" s="6"/>
      <c r="Q203" s="31" t="s">
        <v>860</v>
      </c>
      <c r="R203" s="31"/>
      <c r="S203" s="6"/>
      <c r="T203" s="6"/>
      <c r="U203" s="43"/>
      <c r="V203" s="46"/>
      <c r="W203" s="6"/>
      <c r="X203" s="6"/>
      <c r="Y203" s="91"/>
      <c r="Z203" s="91"/>
      <c r="AA203" s="88" t="s">
        <v>724</v>
      </c>
    </row>
    <row r="204" spans="1:27" s="26" customFormat="1" ht="37.5" customHeight="1" x14ac:dyDescent="0.2">
      <c r="A204" s="39" t="s">
        <v>721</v>
      </c>
      <c r="B204" s="53" t="s">
        <v>416</v>
      </c>
      <c r="C204" s="9" t="s">
        <v>723</v>
      </c>
      <c r="D204" s="8">
        <v>140</v>
      </c>
      <c r="E204" s="8" t="s">
        <v>547</v>
      </c>
      <c r="F204" s="6" t="s">
        <v>3</v>
      </c>
      <c r="G204" s="6" t="s">
        <v>727</v>
      </c>
      <c r="H204" s="6">
        <v>143</v>
      </c>
      <c r="I204" s="6"/>
      <c r="J204" s="6">
        <v>47377</v>
      </c>
      <c r="K204" s="16" t="s">
        <v>323</v>
      </c>
      <c r="L204" s="6">
        <v>16</v>
      </c>
      <c r="M204" s="6">
        <v>8</v>
      </c>
      <c r="N204" s="6"/>
      <c r="O204" s="8" t="s">
        <v>211</v>
      </c>
      <c r="P204" s="6" t="s">
        <v>577</v>
      </c>
      <c r="Q204" s="31" t="s">
        <v>860</v>
      </c>
      <c r="R204" s="31"/>
      <c r="S204" s="6"/>
      <c r="T204" s="6"/>
      <c r="U204" s="43"/>
      <c r="V204" s="46"/>
      <c r="W204" s="6"/>
      <c r="X204" s="6"/>
      <c r="Y204" s="91"/>
      <c r="Z204" s="91" t="s">
        <v>761</v>
      </c>
      <c r="AA204" s="88" t="s">
        <v>725</v>
      </c>
    </row>
    <row r="205" spans="1:27" s="26" customFormat="1" ht="37.5" customHeight="1" x14ac:dyDescent="0.2">
      <c r="A205" s="39" t="s">
        <v>722</v>
      </c>
      <c r="B205" s="53" t="s">
        <v>416</v>
      </c>
      <c r="C205" s="9" t="s">
        <v>723</v>
      </c>
      <c r="D205" s="8">
        <v>220</v>
      </c>
      <c r="E205" s="8" t="s">
        <v>547</v>
      </c>
      <c r="F205" s="6" t="s">
        <v>3</v>
      </c>
      <c r="G205" s="6" t="s">
        <v>672</v>
      </c>
      <c r="H205" s="6"/>
      <c r="I205" s="6"/>
      <c r="J205" s="72">
        <v>47380</v>
      </c>
      <c r="K205" s="16" t="s">
        <v>548</v>
      </c>
      <c r="L205" s="6">
        <v>16</v>
      </c>
      <c r="M205" s="6">
        <v>0</v>
      </c>
      <c r="N205" s="6"/>
      <c r="O205" s="8" t="s">
        <v>211</v>
      </c>
      <c r="P205" s="6" t="s">
        <v>577</v>
      </c>
      <c r="Q205" s="31" t="s">
        <v>860</v>
      </c>
      <c r="R205" s="31"/>
      <c r="S205" s="6"/>
      <c r="T205" s="6"/>
      <c r="U205" s="43"/>
      <c r="V205" s="46"/>
      <c r="W205" s="6"/>
      <c r="X205" s="6"/>
      <c r="Y205" s="91"/>
      <c r="Z205" s="91" t="s">
        <v>762</v>
      </c>
      <c r="AA205" s="88" t="s">
        <v>726</v>
      </c>
    </row>
    <row r="206" spans="1:27" s="26" customFormat="1" ht="37.5" customHeight="1" x14ac:dyDescent="0.2">
      <c r="A206" s="39" t="s">
        <v>728</v>
      </c>
      <c r="B206" s="53" t="s">
        <v>539</v>
      </c>
      <c r="C206" s="9" t="s">
        <v>719</v>
      </c>
      <c r="D206" s="8">
        <v>10</v>
      </c>
      <c r="E206" s="8" t="s">
        <v>708</v>
      </c>
      <c r="F206" s="6" t="s">
        <v>57</v>
      </c>
      <c r="G206" s="6" t="s">
        <v>788</v>
      </c>
      <c r="H206" s="6">
        <v>101</v>
      </c>
      <c r="I206" s="6"/>
      <c r="J206" s="6">
        <v>47383</v>
      </c>
      <c r="K206" s="16" t="s">
        <v>548</v>
      </c>
      <c r="L206" s="6"/>
      <c r="M206" s="6"/>
      <c r="N206" s="6"/>
      <c r="O206" s="8"/>
      <c r="P206" s="6"/>
      <c r="Q206" s="31" t="s">
        <v>860</v>
      </c>
      <c r="R206" s="31"/>
      <c r="S206" s="6"/>
      <c r="T206" s="6"/>
      <c r="U206" s="43"/>
      <c r="V206" s="46"/>
      <c r="W206" s="6"/>
      <c r="X206" s="6"/>
      <c r="Y206" s="91"/>
      <c r="Z206" s="91" t="s">
        <v>797</v>
      </c>
      <c r="AA206" s="88" t="s">
        <v>742</v>
      </c>
    </row>
    <row r="207" spans="1:27" s="26" customFormat="1" ht="37.5" customHeight="1" x14ac:dyDescent="0.2">
      <c r="A207" s="39" t="s">
        <v>730</v>
      </c>
      <c r="B207" s="53" t="s">
        <v>416</v>
      </c>
      <c r="C207" s="9" t="s">
        <v>729</v>
      </c>
      <c r="D207" s="8">
        <v>20</v>
      </c>
      <c r="E207" s="8" t="s">
        <v>208</v>
      </c>
      <c r="F207" s="6" t="s">
        <v>57</v>
      </c>
      <c r="G207" s="6" t="s">
        <v>447</v>
      </c>
      <c r="H207" s="6">
        <v>122</v>
      </c>
      <c r="I207" s="6"/>
      <c r="J207" s="72">
        <v>48477</v>
      </c>
      <c r="K207" s="16" t="s">
        <v>660</v>
      </c>
      <c r="L207" s="19">
        <v>16</v>
      </c>
      <c r="M207" s="19"/>
      <c r="N207" s="6"/>
      <c r="O207" s="22"/>
      <c r="P207" s="19"/>
      <c r="Q207" s="31" t="s">
        <v>860</v>
      </c>
      <c r="R207" s="31"/>
      <c r="S207" s="6"/>
      <c r="T207" s="6"/>
      <c r="U207" s="43">
        <f>[174]Tabelle1!$L$3</f>
        <v>0</v>
      </c>
      <c r="V207" s="46">
        <f>[174]Tabelle1!$L$4</f>
        <v>8</v>
      </c>
      <c r="W207" s="6"/>
      <c r="X207" s="6"/>
      <c r="Y207" s="91" t="s">
        <v>749</v>
      </c>
      <c r="Z207" s="91"/>
      <c r="AA207" s="57" t="s">
        <v>750</v>
      </c>
    </row>
    <row r="208" spans="1:27" s="26" customFormat="1" ht="37.5" customHeight="1" x14ac:dyDescent="0.2">
      <c r="A208" s="39" t="s">
        <v>731</v>
      </c>
      <c r="B208" s="53" t="s">
        <v>416</v>
      </c>
      <c r="C208" s="9" t="s">
        <v>732</v>
      </c>
      <c r="D208" s="8">
        <v>30</v>
      </c>
      <c r="E208" s="8" t="s">
        <v>208</v>
      </c>
      <c r="F208" s="6" t="s">
        <v>57</v>
      </c>
      <c r="G208" s="6" t="s">
        <v>774</v>
      </c>
      <c r="H208" s="6">
        <v>120</v>
      </c>
      <c r="I208" s="6"/>
      <c r="J208" s="72">
        <v>48214</v>
      </c>
      <c r="K208" s="16" t="s">
        <v>660</v>
      </c>
      <c r="L208" s="6">
        <v>16</v>
      </c>
      <c r="M208" s="6"/>
      <c r="N208" s="6"/>
      <c r="O208" s="8" t="s">
        <v>480</v>
      </c>
      <c r="P208" s="6" t="s">
        <v>577</v>
      </c>
      <c r="Q208" s="31" t="s">
        <v>748</v>
      </c>
      <c r="R208" s="31"/>
      <c r="S208" s="6"/>
      <c r="T208" s="6"/>
      <c r="U208" s="43">
        <f>[174]Tabelle1!$L$3</f>
        <v>0</v>
      </c>
      <c r="V208" s="46">
        <f>[174]Tabelle1!$L$4</f>
        <v>8</v>
      </c>
      <c r="W208" s="6"/>
      <c r="X208" s="6"/>
      <c r="Y208" s="91" t="s">
        <v>696</v>
      </c>
      <c r="Z208" s="91"/>
      <c r="AA208" s="25" t="s">
        <v>697</v>
      </c>
    </row>
    <row r="209" spans="1:27" s="26" customFormat="1" ht="37.5" customHeight="1" x14ac:dyDescent="0.2">
      <c r="A209" s="39" t="s">
        <v>733</v>
      </c>
      <c r="B209" s="53" t="s">
        <v>416</v>
      </c>
      <c r="C209" s="9" t="s">
        <v>737</v>
      </c>
      <c r="D209" s="8" t="s">
        <v>738</v>
      </c>
      <c r="E209" s="8" t="s">
        <v>208</v>
      </c>
      <c r="F209" s="6" t="s">
        <v>57</v>
      </c>
      <c r="G209" s="6" t="s">
        <v>781</v>
      </c>
      <c r="H209" s="80">
        <v>156</v>
      </c>
      <c r="I209" s="6"/>
      <c r="J209" s="72">
        <v>48210</v>
      </c>
      <c r="K209" s="16" t="s">
        <v>660</v>
      </c>
      <c r="L209" s="6">
        <v>32</v>
      </c>
      <c r="M209" s="6"/>
      <c r="N209" s="6"/>
      <c r="O209" s="8" t="s">
        <v>480</v>
      </c>
      <c r="P209" s="6" t="s">
        <v>577</v>
      </c>
      <c r="Q209" s="31" t="s">
        <v>860</v>
      </c>
      <c r="R209" s="31"/>
      <c r="S209" s="6"/>
      <c r="T209" s="6"/>
      <c r="U209" s="43"/>
      <c r="V209" s="46"/>
      <c r="W209" s="6"/>
      <c r="X209" s="6"/>
      <c r="Y209" s="91" t="s">
        <v>696</v>
      </c>
      <c r="Z209" s="91"/>
      <c r="AA209" s="25" t="s">
        <v>697</v>
      </c>
    </row>
    <row r="210" spans="1:27" s="26" customFormat="1" ht="37.5" customHeight="1" x14ac:dyDescent="0.2">
      <c r="A210" s="39" t="s">
        <v>734</v>
      </c>
      <c r="B210" s="53" t="s">
        <v>416</v>
      </c>
      <c r="C210" s="9" t="s">
        <v>737</v>
      </c>
      <c r="D210" s="8" t="s">
        <v>743</v>
      </c>
      <c r="E210" s="8" t="s">
        <v>208</v>
      </c>
      <c r="F210" s="6" t="s">
        <v>57</v>
      </c>
      <c r="G210" s="6" t="s">
        <v>773</v>
      </c>
      <c r="H210" s="6">
        <v>129</v>
      </c>
      <c r="I210" s="6"/>
      <c r="J210" s="72">
        <v>48481</v>
      </c>
      <c r="K210" s="16" t="s">
        <v>660</v>
      </c>
      <c r="L210" s="6">
        <v>32</v>
      </c>
      <c r="M210" s="6"/>
      <c r="N210" s="6"/>
      <c r="O210" s="8" t="s">
        <v>480</v>
      </c>
      <c r="P210" s="6" t="s">
        <v>577</v>
      </c>
      <c r="Q210" s="31" t="s">
        <v>860</v>
      </c>
      <c r="R210" s="31"/>
      <c r="S210" s="6"/>
      <c r="T210" s="6"/>
      <c r="U210" s="43"/>
      <c r="V210" s="46"/>
      <c r="W210" s="6"/>
      <c r="X210" s="6"/>
      <c r="Y210" s="91" t="s">
        <v>749</v>
      </c>
      <c r="Z210" s="91"/>
      <c r="AA210" s="57" t="s">
        <v>756</v>
      </c>
    </row>
    <row r="211" spans="1:27" s="26" customFormat="1" ht="37.5" customHeight="1" x14ac:dyDescent="0.2">
      <c r="A211" s="39" t="s">
        <v>735</v>
      </c>
      <c r="B211" s="53" t="s">
        <v>416</v>
      </c>
      <c r="C211" s="9" t="s">
        <v>732</v>
      </c>
      <c r="D211" s="8">
        <v>50</v>
      </c>
      <c r="E211" s="8" t="s">
        <v>208</v>
      </c>
      <c r="F211" s="6" t="s">
        <v>57</v>
      </c>
      <c r="G211" s="6" t="s">
        <v>781</v>
      </c>
      <c r="H211" s="80">
        <v>156</v>
      </c>
      <c r="I211" s="6"/>
      <c r="J211" s="72">
        <v>48213</v>
      </c>
      <c r="K211" s="16" t="s">
        <v>660</v>
      </c>
      <c r="L211" s="6"/>
      <c r="M211" s="6"/>
      <c r="N211" s="6"/>
      <c r="O211" s="8" t="s">
        <v>480</v>
      </c>
      <c r="P211" s="6" t="s">
        <v>577</v>
      </c>
      <c r="Q211" s="31" t="s">
        <v>860</v>
      </c>
      <c r="R211" s="31"/>
      <c r="S211" s="6"/>
      <c r="T211" s="6"/>
      <c r="U211" s="43"/>
      <c r="V211" s="46"/>
      <c r="W211" s="6"/>
      <c r="X211" s="6"/>
      <c r="Y211" s="91"/>
      <c r="Z211" s="91"/>
      <c r="AA211" s="25" t="s">
        <v>697</v>
      </c>
    </row>
    <row r="212" spans="1:27" s="26" customFormat="1" ht="37.5" customHeight="1" x14ac:dyDescent="0.2">
      <c r="A212" s="39" t="s">
        <v>736</v>
      </c>
      <c r="B212" s="53" t="s">
        <v>416</v>
      </c>
      <c r="C212" s="9" t="s">
        <v>744</v>
      </c>
      <c r="D212" s="8">
        <v>80</v>
      </c>
      <c r="E212" s="8" t="s">
        <v>208</v>
      </c>
      <c r="F212" s="6" t="s">
        <v>3</v>
      </c>
      <c r="G212" s="6" t="s">
        <v>413</v>
      </c>
      <c r="H212" s="6">
        <v>148</v>
      </c>
      <c r="I212" s="6"/>
      <c r="J212" s="72">
        <v>48212</v>
      </c>
      <c r="K212" s="16" t="s">
        <v>660</v>
      </c>
      <c r="L212" s="6">
        <v>16</v>
      </c>
      <c r="M212" s="6">
        <v>3</v>
      </c>
      <c r="N212" s="6"/>
      <c r="O212" s="8" t="s">
        <v>480</v>
      </c>
      <c r="P212" s="6" t="s">
        <v>577</v>
      </c>
      <c r="Q212" s="31" t="s">
        <v>860</v>
      </c>
      <c r="R212" s="31"/>
      <c r="S212" s="6"/>
      <c r="T212" s="6"/>
      <c r="U212" s="43"/>
      <c r="V212" s="46"/>
      <c r="W212" s="6"/>
      <c r="X212" s="6"/>
      <c r="Y212" s="91"/>
      <c r="Z212" s="91"/>
      <c r="AA212" s="25" t="s">
        <v>697</v>
      </c>
    </row>
    <row r="213" spans="1:27" s="26" customFormat="1" ht="37.5" customHeight="1" x14ac:dyDescent="0.2">
      <c r="A213" s="39" t="s">
        <v>739</v>
      </c>
      <c r="B213" s="53" t="s">
        <v>416</v>
      </c>
      <c r="C213" s="9" t="s">
        <v>740</v>
      </c>
      <c r="D213" s="8">
        <v>140</v>
      </c>
      <c r="E213" s="8" t="s">
        <v>208</v>
      </c>
      <c r="F213" s="6" t="s">
        <v>3</v>
      </c>
      <c r="G213" s="6" t="s">
        <v>672</v>
      </c>
      <c r="H213" s="6">
        <v>95</v>
      </c>
      <c r="I213" s="6"/>
      <c r="J213" s="72">
        <v>47379</v>
      </c>
      <c r="K213" s="16" t="s">
        <v>548</v>
      </c>
      <c r="L213" s="6">
        <v>16</v>
      </c>
      <c r="M213" s="6">
        <v>8</v>
      </c>
      <c r="N213" s="6"/>
      <c r="O213" s="8" t="s">
        <v>480</v>
      </c>
      <c r="P213" s="6" t="s">
        <v>577</v>
      </c>
      <c r="Q213" s="31" t="s">
        <v>860</v>
      </c>
      <c r="R213" s="31"/>
      <c r="S213" s="6"/>
      <c r="T213" s="6"/>
      <c r="U213" s="43"/>
      <c r="V213" s="46"/>
      <c r="W213" s="6"/>
      <c r="X213" s="6"/>
      <c r="Y213" s="91"/>
      <c r="Z213" s="91"/>
      <c r="AA213" s="25" t="s">
        <v>741</v>
      </c>
    </row>
    <row r="214" spans="1:27" s="26" customFormat="1" ht="37.5" customHeight="1" x14ac:dyDescent="0.2">
      <c r="A214" s="39" t="s">
        <v>746</v>
      </c>
      <c r="B214" s="53" t="s">
        <v>416</v>
      </c>
      <c r="C214" s="9" t="s">
        <v>747</v>
      </c>
      <c r="D214" s="8">
        <v>140</v>
      </c>
      <c r="E214" s="8" t="s">
        <v>208</v>
      </c>
      <c r="F214" s="6" t="s">
        <v>3</v>
      </c>
      <c r="G214" s="6" t="s">
        <v>581</v>
      </c>
      <c r="H214" s="6">
        <v>125</v>
      </c>
      <c r="I214" s="6"/>
      <c r="J214" s="72">
        <v>48480</v>
      </c>
      <c r="K214" s="16" t="s">
        <v>660</v>
      </c>
      <c r="L214" s="6">
        <v>24</v>
      </c>
      <c r="M214" s="6">
        <v>17</v>
      </c>
      <c r="N214" s="6"/>
      <c r="O214" s="8" t="s">
        <v>480</v>
      </c>
      <c r="P214" s="6" t="s">
        <v>577</v>
      </c>
      <c r="Q214" s="31" t="s">
        <v>860</v>
      </c>
      <c r="R214" s="31"/>
      <c r="S214" s="6"/>
      <c r="T214" s="6"/>
      <c r="U214" s="43"/>
      <c r="V214" s="46"/>
      <c r="W214" s="6"/>
      <c r="X214" s="6"/>
      <c r="Y214" s="91" t="s">
        <v>749</v>
      </c>
      <c r="Z214" s="91"/>
      <c r="AA214" s="57" t="s">
        <v>750</v>
      </c>
    </row>
    <row r="215" spans="1:27" s="26" customFormat="1" ht="37.5" customHeight="1" x14ac:dyDescent="0.2">
      <c r="A215" s="39" t="s">
        <v>753</v>
      </c>
      <c r="B215" s="53" t="s">
        <v>416</v>
      </c>
      <c r="C215" s="9" t="s">
        <v>754</v>
      </c>
      <c r="D215" s="8">
        <v>20</v>
      </c>
      <c r="E215" s="8" t="s">
        <v>755</v>
      </c>
      <c r="F215" s="6" t="s">
        <v>57</v>
      </c>
      <c r="G215" s="6" t="s">
        <v>861</v>
      </c>
      <c r="H215" s="6">
        <v>136</v>
      </c>
      <c r="I215" s="6"/>
      <c r="J215" s="72">
        <v>47123</v>
      </c>
      <c r="K215" s="34" t="s">
        <v>515</v>
      </c>
      <c r="L215" s="6">
        <v>16</v>
      </c>
      <c r="M215" s="6">
        <v>14</v>
      </c>
      <c r="N215" s="6"/>
      <c r="O215" s="8" t="s">
        <v>480</v>
      </c>
      <c r="P215" s="6" t="s">
        <v>417</v>
      </c>
      <c r="Q215" s="31" t="s">
        <v>748</v>
      </c>
      <c r="R215" s="31"/>
      <c r="S215" s="6"/>
      <c r="T215" s="6"/>
      <c r="U215" s="43"/>
      <c r="V215" s="46"/>
      <c r="W215" s="6"/>
      <c r="X215" s="6"/>
      <c r="Y215" s="91" t="s">
        <v>684</v>
      </c>
      <c r="Z215" s="91"/>
      <c r="AA215" s="88" t="s">
        <v>752</v>
      </c>
    </row>
    <row r="216" spans="1:27" s="26" customFormat="1" ht="37.5" customHeight="1" x14ac:dyDescent="0.2">
      <c r="A216" s="39" t="s">
        <v>766</v>
      </c>
      <c r="B216" s="53" t="s">
        <v>416</v>
      </c>
      <c r="C216" s="9" t="s">
        <v>768</v>
      </c>
      <c r="D216" s="8" t="s">
        <v>360</v>
      </c>
      <c r="E216" s="8" t="s">
        <v>208</v>
      </c>
      <c r="F216" s="6" t="s">
        <v>57</v>
      </c>
      <c r="G216" s="6" t="s">
        <v>774</v>
      </c>
      <c r="H216" s="6">
        <v>150</v>
      </c>
      <c r="I216" s="6"/>
      <c r="J216" s="72">
        <v>48149</v>
      </c>
      <c r="K216" s="16" t="s">
        <v>660</v>
      </c>
      <c r="L216" s="6">
        <v>16</v>
      </c>
      <c r="M216" s="6"/>
      <c r="N216" s="6"/>
      <c r="O216" s="8" t="s">
        <v>480</v>
      </c>
      <c r="P216" s="6" t="s">
        <v>577</v>
      </c>
      <c r="Q216" s="31" t="s">
        <v>860</v>
      </c>
      <c r="R216" s="31"/>
      <c r="S216" s="6"/>
      <c r="T216" s="6"/>
      <c r="U216" s="43"/>
      <c r="V216" s="46"/>
      <c r="W216" s="6"/>
      <c r="X216" s="6"/>
      <c r="Y216" s="92" t="s">
        <v>695</v>
      </c>
      <c r="Z216" s="92"/>
      <c r="AA216" s="28" t="s">
        <v>694</v>
      </c>
    </row>
    <row r="217" spans="1:27" s="26" customFormat="1" ht="37.5" customHeight="1" x14ac:dyDescent="0.2">
      <c r="A217" s="39" t="s">
        <v>769</v>
      </c>
      <c r="B217" s="53" t="s">
        <v>416</v>
      </c>
      <c r="C217" s="9" t="s">
        <v>768</v>
      </c>
      <c r="D217" s="8">
        <v>80</v>
      </c>
      <c r="E217" s="8" t="s">
        <v>208</v>
      </c>
      <c r="F217" s="6" t="s">
        <v>3</v>
      </c>
      <c r="G217" s="6" t="s">
        <v>268</v>
      </c>
      <c r="H217" s="6">
        <v>151</v>
      </c>
      <c r="I217" s="6"/>
      <c r="J217" s="6">
        <v>48150</v>
      </c>
      <c r="K217" s="16" t="s">
        <v>660</v>
      </c>
      <c r="L217" s="6">
        <v>16</v>
      </c>
      <c r="M217" s="6"/>
      <c r="N217" s="6"/>
      <c r="O217" s="8" t="s">
        <v>480</v>
      </c>
      <c r="P217" s="6" t="s">
        <v>577</v>
      </c>
      <c r="Q217" s="31" t="s">
        <v>767</v>
      </c>
      <c r="R217" s="31"/>
      <c r="S217" s="6"/>
      <c r="T217" s="6"/>
      <c r="U217" s="43"/>
      <c r="V217" s="46"/>
      <c r="W217" s="6"/>
      <c r="X217" s="6"/>
      <c r="Y217" s="92" t="s">
        <v>695</v>
      </c>
      <c r="Z217" s="92"/>
      <c r="AA217" s="28" t="s">
        <v>694</v>
      </c>
    </row>
    <row r="218" spans="1:27" s="26" customFormat="1" ht="37.5" customHeight="1" x14ac:dyDescent="0.2">
      <c r="A218" s="39" t="s">
        <v>782</v>
      </c>
      <c r="B218" s="87" t="s">
        <v>76</v>
      </c>
      <c r="C218" s="9" t="s">
        <v>783</v>
      </c>
      <c r="D218" s="8" t="s">
        <v>221</v>
      </c>
      <c r="E218" s="8" t="s">
        <v>208</v>
      </c>
      <c r="F218" s="6" t="s">
        <v>53</v>
      </c>
      <c r="G218" s="6" t="s">
        <v>237</v>
      </c>
      <c r="H218" s="6">
        <v>315</v>
      </c>
      <c r="I218" s="6">
        <v>5</v>
      </c>
      <c r="J218" s="6">
        <v>31917</v>
      </c>
      <c r="K218" s="9" t="s">
        <v>210</v>
      </c>
      <c r="L218" s="6">
        <v>32</v>
      </c>
      <c r="M218" s="6">
        <v>22</v>
      </c>
      <c r="N218" s="6"/>
      <c r="O218" s="8" t="s">
        <v>211</v>
      </c>
      <c r="P218" s="6" t="s">
        <v>224</v>
      </c>
      <c r="Q218" s="31" t="s">
        <v>860</v>
      </c>
      <c r="R218" s="31"/>
      <c r="S218" s="6"/>
      <c r="T218" s="6"/>
      <c r="U218" s="43">
        <f>[174]Tabelle1!$L$3</f>
        <v>0</v>
      </c>
      <c r="V218" s="46">
        <f>[175]Tabelle1!$L$4</f>
        <v>15</v>
      </c>
      <c r="W218" s="6"/>
      <c r="X218" s="6"/>
      <c r="Y218" s="91"/>
      <c r="Z218" s="91"/>
      <c r="AA218" s="57" t="s">
        <v>784</v>
      </c>
    </row>
    <row r="219" spans="1:27" s="26" customFormat="1" ht="37.5" customHeight="1" x14ac:dyDescent="0.2">
      <c r="A219" s="39" t="s">
        <v>790</v>
      </c>
      <c r="B219" s="87" t="s">
        <v>76</v>
      </c>
      <c r="C219" s="9" t="s">
        <v>791</v>
      </c>
      <c r="D219" s="8">
        <v>20</v>
      </c>
      <c r="E219" s="8" t="s">
        <v>793</v>
      </c>
      <c r="F219" s="6" t="s">
        <v>53</v>
      </c>
      <c r="G219" s="17" t="s">
        <v>232</v>
      </c>
      <c r="H219" s="6">
        <v>79</v>
      </c>
      <c r="I219" s="6">
        <v>5</v>
      </c>
      <c r="J219" s="14">
        <v>29795</v>
      </c>
      <c r="K219" s="16" t="s">
        <v>209</v>
      </c>
      <c r="L219" s="6">
        <v>16</v>
      </c>
      <c r="M219" s="19">
        <v>1</v>
      </c>
      <c r="N219" s="20"/>
      <c r="O219" s="8" t="s">
        <v>211</v>
      </c>
      <c r="P219" s="6" t="s">
        <v>224</v>
      </c>
      <c r="Q219" s="31" t="s">
        <v>860</v>
      </c>
      <c r="R219" s="9" t="s">
        <v>470</v>
      </c>
      <c r="S219" s="6"/>
      <c r="T219" s="6">
        <v>1</v>
      </c>
      <c r="U219" s="43">
        <v>3</v>
      </c>
      <c r="V219" s="46">
        <f>[8]Tabelle1!$L$4</f>
        <v>0</v>
      </c>
      <c r="W219" s="6"/>
      <c r="X219" s="6"/>
      <c r="Y219" s="91"/>
      <c r="Z219" s="91"/>
      <c r="AA219" s="25" t="s">
        <v>792</v>
      </c>
    </row>
    <row r="220" spans="1:27" s="26" customFormat="1" ht="37.5" customHeight="1" x14ac:dyDescent="0.2">
      <c r="A220" s="38" t="s">
        <v>794</v>
      </c>
      <c r="B220" s="8" t="s">
        <v>76</v>
      </c>
      <c r="C220" s="9" t="s">
        <v>795</v>
      </c>
      <c r="D220" s="8">
        <v>10</v>
      </c>
      <c r="E220" s="8" t="s">
        <v>405</v>
      </c>
      <c r="F220" s="6" t="s">
        <v>53</v>
      </c>
      <c r="G220" s="17" t="s">
        <v>60</v>
      </c>
      <c r="H220" s="6">
        <v>65</v>
      </c>
      <c r="I220" s="6">
        <v>5</v>
      </c>
      <c r="J220" s="19">
        <v>28586</v>
      </c>
      <c r="K220" s="34" t="s">
        <v>201</v>
      </c>
      <c r="L220" s="19">
        <v>16</v>
      </c>
      <c r="M220" s="19">
        <v>7</v>
      </c>
      <c r="N220" s="19" t="s">
        <v>58</v>
      </c>
      <c r="O220" s="22" t="s">
        <v>534</v>
      </c>
      <c r="P220" s="19">
        <v>2000</v>
      </c>
      <c r="Q220" s="31" t="s">
        <v>860</v>
      </c>
      <c r="R220" s="31" t="s">
        <v>471</v>
      </c>
      <c r="S220" s="6"/>
      <c r="T220" s="6">
        <v>1</v>
      </c>
      <c r="U220" s="43">
        <v>4</v>
      </c>
      <c r="V220" s="46"/>
      <c r="W220" s="6"/>
      <c r="X220" s="6"/>
      <c r="Y220" s="91"/>
      <c r="Z220" s="91"/>
      <c r="AA220" s="25" t="s">
        <v>798</v>
      </c>
    </row>
    <row r="221" spans="1:27" s="26" customFormat="1" ht="37.5" customHeight="1" x14ac:dyDescent="0.2">
      <c r="A221" s="39" t="s">
        <v>840</v>
      </c>
      <c r="B221" s="87" t="s">
        <v>76</v>
      </c>
      <c r="C221" s="9" t="s">
        <v>841</v>
      </c>
      <c r="D221" s="8">
        <v>10</v>
      </c>
      <c r="E221" s="8" t="s">
        <v>208</v>
      </c>
      <c r="F221" s="6" t="s">
        <v>53</v>
      </c>
      <c r="G221" s="17" t="s">
        <v>859</v>
      </c>
      <c r="H221" s="6">
        <v>80</v>
      </c>
      <c r="I221" s="6"/>
      <c r="J221" s="129"/>
      <c r="K221" s="16"/>
      <c r="L221" s="6"/>
      <c r="M221" s="6"/>
      <c r="N221" s="10"/>
      <c r="O221" s="8" t="s">
        <v>211</v>
      </c>
      <c r="P221" s="6" t="s">
        <v>224</v>
      </c>
      <c r="Q221" s="31" t="s">
        <v>860</v>
      </c>
      <c r="R221" s="9"/>
      <c r="S221" s="6"/>
      <c r="T221" s="6"/>
      <c r="U221" s="43"/>
      <c r="V221" s="46"/>
      <c r="W221" s="6"/>
      <c r="X221" s="6"/>
      <c r="Y221" s="91"/>
      <c r="Z221" s="91"/>
      <c r="AA221" s="25" t="s">
        <v>846</v>
      </c>
    </row>
    <row r="222" spans="1:27" s="26" customFormat="1" ht="37.5" customHeight="1" x14ac:dyDescent="0.2">
      <c r="A222" s="39" t="s">
        <v>843</v>
      </c>
      <c r="B222" s="87" t="s">
        <v>76</v>
      </c>
      <c r="C222" s="9" t="s">
        <v>841</v>
      </c>
      <c r="D222" s="8">
        <v>30</v>
      </c>
      <c r="E222" s="8" t="s">
        <v>208</v>
      </c>
      <c r="F222" s="6" t="s">
        <v>53</v>
      </c>
      <c r="G222" s="17" t="s">
        <v>859</v>
      </c>
      <c r="H222" s="6">
        <v>171</v>
      </c>
      <c r="I222" s="6"/>
      <c r="J222" s="129">
        <v>34776</v>
      </c>
      <c r="K222" s="9" t="s">
        <v>289</v>
      </c>
      <c r="L222" s="6">
        <v>16</v>
      </c>
      <c r="M222" s="6">
        <v>12</v>
      </c>
      <c r="N222" s="6"/>
      <c r="O222" s="8" t="s">
        <v>211</v>
      </c>
      <c r="P222" s="6">
        <v>2000</v>
      </c>
      <c r="Q222" s="31" t="s">
        <v>860</v>
      </c>
      <c r="R222" s="9"/>
      <c r="S222" s="6"/>
      <c r="T222" s="6"/>
      <c r="U222" s="43"/>
      <c r="V222" s="46"/>
      <c r="W222" s="6"/>
      <c r="X222" s="6"/>
      <c r="Y222" s="91"/>
      <c r="Z222" s="91"/>
      <c r="AA222" s="25" t="s">
        <v>846</v>
      </c>
    </row>
    <row r="223" spans="1:27" s="26" customFormat="1" ht="37.5" customHeight="1" x14ac:dyDescent="0.2">
      <c r="A223" s="39" t="s">
        <v>845</v>
      </c>
      <c r="B223" s="87" t="s">
        <v>416</v>
      </c>
      <c r="C223" s="9" t="s">
        <v>841</v>
      </c>
      <c r="D223" s="8">
        <v>100</v>
      </c>
      <c r="E223" s="8" t="s">
        <v>208</v>
      </c>
      <c r="F223" s="6" t="s">
        <v>53</v>
      </c>
      <c r="G223" s="6" t="s">
        <v>239</v>
      </c>
      <c r="H223" s="6">
        <v>321</v>
      </c>
      <c r="I223" s="6">
        <v>5</v>
      </c>
      <c r="J223" s="129">
        <v>31527</v>
      </c>
      <c r="K223" s="16" t="s">
        <v>289</v>
      </c>
      <c r="L223" s="6">
        <v>16</v>
      </c>
      <c r="M223" s="6">
        <v>7</v>
      </c>
      <c r="N223" s="6"/>
      <c r="O223" s="8" t="s">
        <v>211</v>
      </c>
      <c r="P223" s="6" t="s">
        <v>224</v>
      </c>
      <c r="Q223" s="31" t="s">
        <v>860</v>
      </c>
      <c r="R223" s="9"/>
      <c r="S223" s="6"/>
      <c r="T223" s="6"/>
      <c r="U223" s="43"/>
      <c r="V223" s="46"/>
      <c r="W223" s="6"/>
      <c r="X223" s="6"/>
      <c r="Y223" s="91"/>
      <c r="Z223" s="91" t="s">
        <v>624</v>
      </c>
      <c r="AA223" s="25" t="s">
        <v>846</v>
      </c>
    </row>
    <row r="224" spans="1:27" s="26" customFormat="1" ht="37.5" customHeight="1" x14ac:dyDescent="0.2">
      <c r="A224" s="39" t="s">
        <v>847</v>
      </c>
      <c r="B224" s="8" t="s">
        <v>76</v>
      </c>
      <c r="C224" s="9" t="s">
        <v>333</v>
      </c>
      <c r="D224" s="8">
        <v>65</v>
      </c>
      <c r="E224" s="8" t="s">
        <v>208</v>
      </c>
      <c r="F224" s="15" t="s">
        <v>3</v>
      </c>
      <c r="G224" s="15" t="s">
        <v>631</v>
      </c>
      <c r="H224" s="6">
        <v>349</v>
      </c>
      <c r="I224" s="6">
        <v>2</v>
      </c>
      <c r="J224" s="6">
        <v>33975</v>
      </c>
      <c r="K224" s="16" t="s">
        <v>210</v>
      </c>
      <c r="L224" s="6">
        <v>16</v>
      </c>
      <c r="M224" s="6">
        <v>12</v>
      </c>
      <c r="N224" s="6"/>
      <c r="O224" s="8" t="s">
        <v>211</v>
      </c>
      <c r="P224" s="6" t="s">
        <v>224</v>
      </c>
      <c r="Q224" s="31" t="s">
        <v>860</v>
      </c>
      <c r="R224" s="9"/>
      <c r="S224" s="6"/>
      <c r="T224" s="6"/>
      <c r="U224" s="43"/>
      <c r="V224" s="46"/>
      <c r="W224" s="6"/>
      <c r="X224" s="6"/>
      <c r="Y224" s="91"/>
      <c r="Z224" s="91"/>
      <c r="AA224" s="25"/>
    </row>
    <row r="225" spans="1:27" s="26" customFormat="1" ht="37.5" customHeight="1" x14ac:dyDescent="0.2">
      <c r="A225" s="39" t="s">
        <v>849</v>
      </c>
      <c r="B225" s="8" t="s">
        <v>854</v>
      </c>
      <c r="C225" s="9" t="s">
        <v>850</v>
      </c>
      <c r="D225" s="8">
        <v>155</v>
      </c>
      <c r="E225" s="8" t="s">
        <v>708</v>
      </c>
      <c r="F225" s="15" t="s">
        <v>3</v>
      </c>
      <c r="G225" s="75" t="s">
        <v>449</v>
      </c>
      <c r="H225" s="6">
        <v>76</v>
      </c>
      <c r="I225" s="6">
        <v>2</v>
      </c>
      <c r="J225" s="8">
        <v>48553</v>
      </c>
      <c r="K225" s="16" t="s">
        <v>855</v>
      </c>
      <c r="L225" s="6">
        <v>4</v>
      </c>
      <c r="M225" s="6">
        <v>1</v>
      </c>
      <c r="N225" s="6"/>
      <c r="O225" s="6" t="s">
        <v>211</v>
      </c>
      <c r="P225" s="6" t="s">
        <v>636</v>
      </c>
      <c r="Q225" s="31" t="s">
        <v>860</v>
      </c>
      <c r="R225" s="9"/>
      <c r="S225" s="6"/>
      <c r="T225" s="6"/>
      <c r="U225" s="43"/>
      <c r="V225" s="46"/>
      <c r="W225" s="6"/>
      <c r="X225" s="6"/>
      <c r="Y225" s="91"/>
      <c r="Z225" s="91"/>
      <c r="AA225" s="25" t="s">
        <v>856</v>
      </c>
    </row>
    <row r="226" spans="1:27" s="26" customFormat="1" ht="37.5" customHeight="1" x14ac:dyDescent="0.2">
      <c r="A226" s="38" t="s">
        <v>857</v>
      </c>
      <c r="B226" s="8" t="s">
        <v>76</v>
      </c>
      <c r="C226" s="9" t="s">
        <v>364</v>
      </c>
      <c r="D226" s="8" t="s">
        <v>295</v>
      </c>
      <c r="E226" s="8" t="s">
        <v>208</v>
      </c>
      <c r="F226" s="6" t="s">
        <v>53</v>
      </c>
      <c r="G226" s="6" t="s">
        <v>152</v>
      </c>
      <c r="H226" s="6">
        <v>217</v>
      </c>
      <c r="I226" s="6">
        <v>5</v>
      </c>
      <c r="J226" s="13">
        <v>27523</v>
      </c>
      <c r="K226" s="16" t="s">
        <v>209</v>
      </c>
      <c r="L226" s="6">
        <v>16</v>
      </c>
      <c r="M226" s="6">
        <v>9</v>
      </c>
      <c r="N226" s="6"/>
      <c r="O226" s="8" t="s">
        <v>211</v>
      </c>
      <c r="P226" s="6">
        <v>2000</v>
      </c>
      <c r="Q226" s="31" t="s">
        <v>860</v>
      </c>
      <c r="R226" s="9" t="s">
        <v>470</v>
      </c>
      <c r="S226" s="6"/>
      <c r="T226" s="6">
        <v>1</v>
      </c>
      <c r="U226" s="43">
        <f>[176]Tabelle1!$L$3</f>
        <v>1</v>
      </c>
      <c r="V226" s="46">
        <f>[176]Tabelle1!$L$4</f>
        <v>0</v>
      </c>
      <c r="W226" s="6"/>
      <c r="X226" s="6"/>
      <c r="Y226" s="91"/>
      <c r="Z226" s="91"/>
      <c r="AA226" s="32"/>
    </row>
    <row r="227" spans="1:27" s="26" customFormat="1" ht="37.5" customHeight="1" x14ac:dyDescent="0.2">
      <c r="A227" s="38" t="s">
        <v>865</v>
      </c>
      <c r="B227" s="8" t="s">
        <v>539</v>
      </c>
      <c r="C227" s="9" t="s">
        <v>866</v>
      </c>
      <c r="D227" s="8">
        <v>10</v>
      </c>
      <c r="E227" s="8" t="s">
        <v>208</v>
      </c>
      <c r="F227" s="6" t="s">
        <v>3</v>
      </c>
      <c r="G227" s="17" t="s">
        <v>867</v>
      </c>
      <c r="H227" s="6">
        <v>270</v>
      </c>
      <c r="I227" s="6">
        <v>2</v>
      </c>
      <c r="J227" s="165">
        <v>47439</v>
      </c>
      <c r="K227" s="16" t="s">
        <v>548</v>
      </c>
      <c r="L227" s="6">
        <v>4</v>
      </c>
      <c r="M227" s="6">
        <v>3</v>
      </c>
      <c r="N227" s="6"/>
      <c r="O227" s="8" t="s">
        <v>211</v>
      </c>
      <c r="P227" s="6" t="s">
        <v>636</v>
      </c>
      <c r="Q227" s="31" t="s">
        <v>860</v>
      </c>
      <c r="R227" s="9"/>
      <c r="S227" s="6"/>
      <c r="T227" s="6"/>
      <c r="U227" s="43">
        <v>0</v>
      </c>
      <c r="V227" s="46">
        <v>6</v>
      </c>
      <c r="W227" s="6"/>
      <c r="X227" s="6"/>
      <c r="Y227" s="91"/>
      <c r="Z227" s="91"/>
      <c r="AA227" s="32"/>
    </row>
    <row r="228" spans="1:27" s="26" customFormat="1" ht="37.5" customHeight="1" x14ac:dyDescent="0.2">
      <c r="A228" s="39" t="s">
        <v>451</v>
      </c>
      <c r="B228" s="87" t="s">
        <v>76</v>
      </c>
      <c r="C228" s="9"/>
      <c r="D228" s="8"/>
      <c r="E228" s="8"/>
      <c r="F228" s="6"/>
      <c r="G228" s="17"/>
      <c r="H228" s="6"/>
      <c r="I228" s="6"/>
      <c r="J228" s="129">
        <v>33981</v>
      </c>
      <c r="K228" s="16" t="s">
        <v>210</v>
      </c>
      <c r="L228" s="19">
        <v>16</v>
      </c>
      <c r="M228" s="6"/>
      <c r="N228" s="6"/>
      <c r="O228" s="8"/>
      <c r="P228" s="19"/>
      <c r="Q228" s="16" t="s">
        <v>649</v>
      </c>
      <c r="R228" s="9"/>
      <c r="S228" s="6"/>
      <c r="T228" s="6">
        <v>1</v>
      </c>
      <c r="U228" s="43"/>
      <c r="V228" s="46"/>
      <c r="W228" s="6"/>
      <c r="X228" s="6"/>
      <c r="Y228" s="91"/>
      <c r="Z228" s="91"/>
      <c r="AA228" s="25" t="s">
        <v>799</v>
      </c>
    </row>
    <row r="229" spans="1:27" s="2" customFormat="1" ht="38.25" customHeight="1" x14ac:dyDescent="0.2">
      <c r="A229" s="39"/>
      <c r="B229" s="8"/>
      <c r="C229" s="9"/>
      <c r="D229" s="8"/>
      <c r="E229" s="8"/>
      <c r="F229" s="6"/>
      <c r="G229" s="6"/>
      <c r="H229" s="6"/>
      <c r="I229" s="6"/>
      <c r="J229" s="8">
        <v>47098</v>
      </c>
      <c r="K229" s="34" t="s">
        <v>515</v>
      </c>
      <c r="L229" s="6">
        <v>4</v>
      </c>
      <c r="M229" s="6">
        <v>0</v>
      </c>
      <c r="N229" s="6" t="s">
        <v>213</v>
      </c>
      <c r="O229" s="6" t="s">
        <v>480</v>
      </c>
      <c r="P229" s="6" t="s">
        <v>417</v>
      </c>
      <c r="Q229" s="16" t="s">
        <v>649</v>
      </c>
      <c r="R229" s="31" t="s">
        <v>545</v>
      </c>
      <c r="S229" s="6"/>
      <c r="T229" s="6">
        <v>1</v>
      </c>
      <c r="U229" s="43">
        <f>[174]Tabelle1!$L$3</f>
        <v>0</v>
      </c>
      <c r="V229" s="46">
        <f>[174]Tabelle1!$L$4</f>
        <v>8</v>
      </c>
      <c r="W229" s="6"/>
      <c r="X229" s="6"/>
      <c r="Y229" s="91" t="s">
        <v>686</v>
      </c>
      <c r="Z229" s="91"/>
      <c r="AA229" s="88" t="s">
        <v>713</v>
      </c>
    </row>
    <row r="230" spans="1:27" s="2" customFormat="1" ht="38.25" customHeight="1" x14ac:dyDescent="0.2">
      <c r="A230" s="39" t="s">
        <v>451</v>
      </c>
      <c r="B230" s="8" t="s">
        <v>76</v>
      </c>
      <c r="C230" s="27" t="s">
        <v>453</v>
      </c>
      <c r="D230" s="27"/>
      <c r="E230" s="8"/>
      <c r="F230" s="6"/>
      <c r="G230" s="17"/>
      <c r="H230" s="6"/>
      <c r="I230" s="6"/>
      <c r="J230" s="8">
        <v>26961</v>
      </c>
      <c r="K230" s="34" t="s">
        <v>210</v>
      </c>
      <c r="L230" s="6">
        <v>16</v>
      </c>
      <c r="M230" s="6">
        <v>2</v>
      </c>
      <c r="N230" s="6"/>
      <c r="O230" s="6"/>
      <c r="P230" s="6">
        <v>2000</v>
      </c>
      <c r="Q230" s="16" t="s">
        <v>434</v>
      </c>
      <c r="R230" s="9" t="s">
        <v>435</v>
      </c>
      <c r="S230" s="6"/>
      <c r="T230" s="6">
        <v>0</v>
      </c>
      <c r="U230" s="43">
        <v>0</v>
      </c>
      <c r="V230" s="47">
        <v>0</v>
      </c>
      <c r="W230" s="6"/>
      <c r="X230" s="6"/>
      <c r="Y230" s="91"/>
      <c r="Z230" s="91"/>
      <c r="AA230" s="57"/>
    </row>
    <row r="231" spans="1:27" s="2" customFormat="1" ht="36.75" customHeight="1" x14ac:dyDescent="0.2">
      <c r="A231" s="38" t="s">
        <v>451</v>
      </c>
      <c r="B231" s="8" t="s">
        <v>76</v>
      </c>
      <c r="C231" s="9"/>
      <c r="D231" s="8"/>
      <c r="E231" s="8"/>
      <c r="F231" s="6"/>
      <c r="G231" s="6"/>
      <c r="H231" s="6"/>
      <c r="I231" s="6"/>
      <c r="J231" s="7">
        <v>26954</v>
      </c>
      <c r="K231" s="16" t="s">
        <v>327</v>
      </c>
      <c r="L231" s="6">
        <v>32</v>
      </c>
      <c r="M231" s="6">
        <v>0</v>
      </c>
      <c r="N231" s="6"/>
      <c r="O231" s="22" t="s">
        <v>58</v>
      </c>
      <c r="P231" s="6">
        <v>2000</v>
      </c>
      <c r="Q231" s="16"/>
      <c r="R231" s="9"/>
      <c r="S231" s="6"/>
      <c r="T231" s="19">
        <v>0</v>
      </c>
      <c r="U231" s="44">
        <v>0</v>
      </c>
      <c r="V231" s="47">
        <v>0</v>
      </c>
      <c r="W231" s="6"/>
      <c r="X231" s="6"/>
      <c r="Y231" s="6"/>
      <c r="Z231" s="6"/>
      <c r="AA231" s="98" t="s">
        <v>629</v>
      </c>
    </row>
    <row r="232" spans="1:27" s="95" customFormat="1" ht="38.25" customHeight="1" x14ac:dyDescent="0.2">
      <c r="A232" s="39" t="s">
        <v>451</v>
      </c>
      <c r="B232" s="22" t="s">
        <v>76</v>
      </c>
      <c r="C232" s="27"/>
      <c r="D232" s="22"/>
      <c r="E232" s="22"/>
      <c r="F232" s="19"/>
      <c r="G232" s="19"/>
      <c r="H232" s="19"/>
      <c r="I232" s="19"/>
      <c r="J232" s="14">
        <v>27529</v>
      </c>
      <c r="K232" s="34" t="s">
        <v>201</v>
      </c>
      <c r="L232" s="19"/>
      <c r="M232" s="19"/>
      <c r="N232" s="19"/>
      <c r="O232" s="22" t="s">
        <v>211</v>
      </c>
      <c r="P232" s="19" t="s">
        <v>224</v>
      </c>
      <c r="Q232" s="34" t="s">
        <v>596</v>
      </c>
      <c r="R232" s="27" t="s">
        <v>473</v>
      </c>
      <c r="S232" s="19"/>
      <c r="T232" s="19"/>
      <c r="U232" s="44">
        <f>[177]Tabelle1!$L$3</f>
        <v>0</v>
      </c>
      <c r="V232" s="47"/>
      <c r="W232" s="19"/>
      <c r="X232" s="19"/>
      <c r="Y232" s="92"/>
      <c r="Z232" s="92"/>
      <c r="AA232" s="28" t="s">
        <v>629</v>
      </c>
    </row>
    <row r="233" spans="1:27" s="2" customFormat="1" ht="38.25" customHeight="1" x14ac:dyDescent="0.2">
      <c r="A233" s="39" t="s">
        <v>451</v>
      </c>
      <c r="B233" s="22" t="s">
        <v>76</v>
      </c>
      <c r="C233" s="27"/>
      <c r="D233" s="22"/>
      <c r="E233" s="22"/>
      <c r="F233" s="33"/>
      <c r="G233" s="33"/>
      <c r="H233" s="33"/>
      <c r="I233" s="19"/>
      <c r="J233" s="14">
        <v>26026</v>
      </c>
      <c r="K233" s="34" t="s">
        <v>201</v>
      </c>
      <c r="L233" s="19">
        <v>16</v>
      </c>
      <c r="M233" s="19"/>
      <c r="N233" s="19"/>
      <c r="O233" s="22" t="s">
        <v>211</v>
      </c>
      <c r="P233" s="19" t="s">
        <v>224</v>
      </c>
      <c r="Q233" s="34" t="s">
        <v>533</v>
      </c>
      <c r="R233" s="27" t="s">
        <v>474</v>
      </c>
      <c r="S233" s="19"/>
      <c r="T233" s="19"/>
      <c r="U233" s="44"/>
      <c r="V233" s="47"/>
      <c r="W233" s="19"/>
      <c r="X233" s="19"/>
      <c r="Y233" s="92"/>
      <c r="Z233" s="92"/>
      <c r="AA233" s="28" t="s">
        <v>628</v>
      </c>
    </row>
    <row r="234" spans="1:27" s="2" customFormat="1" ht="38.25" customHeight="1" x14ac:dyDescent="0.2">
      <c r="A234" s="38" t="s">
        <v>451</v>
      </c>
      <c r="B234" s="53" t="s">
        <v>416</v>
      </c>
      <c r="C234" s="26" t="s">
        <v>862</v>
      </c>
      <c r="D234" s="8"/>
      <c r="E234" s="8"/>
      <c r="F234" s="15"/>
      <c r="G234" s="15"/>
      <c r="H234" s="6"/>
      <c r="I234" s="6"/>
      <c r="J234" s="66">
        <v>41901</v>
      </c>
      <c r="K234" s="16" t="s">
        <v>515</v>
      </c>
      <c r="L234" s="6">
        <v>16</v>
      </c>
      <c r="M234" s="6">
        <v>14</v>
      </c>
      <c r="N234" s="6"/>
      <c r="O234" s="8" t="s">
        <v>211</v>
      </c>
      <c r="P234" s="6" t="s">
        <v>417</v>
      </c>
      <c r="Q234" s="31" t="s">
        <v>860</v>
      </c>
      <c r="R234" s="31" t="s">
        <v>435</v>
      </c>
      <c r="S234" s="6"/>
      <c r="T234" s="6">
        <v>4</v>
      </c>
      <c r="U234" s="43">
        <f>[59]Tabelle1!$L$3</f>
        <v>552</v>
      </c>
      <c r="V234" s="46">
        <f>[59]Tabelle1!$L$4</f>
        <v>156</v>
      </c>
      <c r="W234" s="6"/>
      <c r="X234" s="6"/>
      <c r="Y234" s="91"/>
      <c r="Z234" s="91" t="s">
        <v>609</v>
      </c>
      <c r="AA234" s="57" t="s">
        <v>863</v>
      </c>
    </row>
    <row r="235" spans="1:27" s="2" customFormat="1" ht="38.25" customHeight="1" x14ac:dyDescent="0.2">
      <c r="A235" s="38" t="s">
        <v>451</v>
      </c>
      <c r="B235" s="8" t="s">
        <v>76</v>
      </c>
      <c r="C235" s="9"/>
      <c r="D235" s="8"/>
      <c r="E235" s="8"/>
      <c r="F235" s="15"/>
      <c r="G235" s="15"/>
      <c r="H235" s="6"/>
      <c r="I235" s="6"/>
      <c r="J235" s="66">
        <v>29787</v>
      </c>
      <c r="K235" s="34" t="s">
        <v>452</v>
      </c>
      <c r="L235" s="6">
        <v>16</v>
      </c>
      <c r="M235" s="6">
        <v>0</v>
      </c>
      <c r="N235" s="6" t="s">
        <v>836</v>
      </c>
      <c r="O235" s="8"/>
      <c r="P235" s="6" t="s">
        <v>224</v>
      </c>
      <c r="Q235" s="16" t="s">
        <v>649</v>
      </c>
      <c r="R235" s="9" t="s">
        <v>474</v>
      </c>
      <c r="S235" s="6"/>
      <c r="T235" s="6"/>
      <c r="U235" s="43"/>
      <c r="V235" s="46"/>
      <c r="W235" s="6"/>
      <c r="X235" s="6"/>
      <c r="Y235" s="91"/>
      <c r="Z235" s="91"/>
      <c r="AA235" s="57" t="s">
        <v>837</v>
      </c>
    </row>
    <row r="236" spans="1:27" s="2" customFormat="1" ht="38.25" customHeight="1" x14ac:dyDescent="0.2">
      <c r="A236" s="38" t="s">
        <v>451</v>
      </c>
      <c r="B236" s="22" t="s">
        <v>416</v>
      </c>
      <c r="C236" s="27" t="s">
        <v>693</v>
      </c>
      <c r="D236" s="8"/>
      <c r="E236" s="8"/>
      <c r="F236" s="15"/>
      <c r="G236" s="15"/>
      <c r="H236" s="15"/>
      <c r="I236" s="6"/>
      <c r="J236" s="97">
        <v>48213</v>
      </c>
      <c r="K236" s="34"/>
      <c r="L236" s="19">
        <v>16</v>
      </c>
      <c r="M236" s="19"/>
      <c r="N236" s="6"/>
      <c r="O236" s="22"/>
      <c r="P236" s="19"/>
      <c r="Q236" s="16"/>
      <c r="R236" s="9"/>
      <c r="S236" s="6"/>
      <c r="T236" s="6"/>
      <c r="U236" s="43"/>
      <c r="V236" s="46"/>
      <c r="W236" s="6"/>
      <c r="X236" s="6"/>
      <c r="Y236" s="91" t="s">
        <v>696</v>
      </c>
      <c r="Z236" s="91"/>
      <c r="AA236" s="25" t="s">
        <v>697</v>
      </c>
    </row>
    <row r="237" spans="1:27" s="2" customFormat="1" ht="38.25" customHeight="1" x14ac:dyDescent="0.2">
      <c r="A237" s="38" t="s">
        <v>451</v>
      </c>
      <c r="B237" s="8" t="s">
        <v>416</v>
      </c>
      <c r="C237" s="27" t="s">
        <v>693</v>
      </c>
      <c r="D237" s="8"/>
      <c r="E237" s="8"/>
      <c r="F237" s="15"/>
      <c r="G237" s="15"/>
      <c r="H237" s="15"/>
      <c r="I237" s="6"/>
      <c r="J237" s="97">
        <v>48478</v>
      </c>
      <c r="K237" s="34"/>
      <c r="L237" s="19">
        <v>16</v>
      </c>
      <c r="M237" s="19"/>
      <c r="N237" s="6"/>
      <c r="O237" s="22"/>
      <c r="P237" s="19"/>
      <c r="Q237" s="16"/>
      <c r="R237" s="9"/>
      <c r="S237" s="6"/>
      <c r="T237" s="6"/>
      <c r="U237" s="43"/>
      <c r="V237" s="46"/>
      <c r="W237" s="6"/>
      <c r="X237" s="6"/>
      <c r="Y237" s="91" t="s">
        <v>749</v>
      </c>
      <c r="Z237" s="91"/>
      <c r="AA237" s="57" t="s">
        <v>751</v>
      </c>
    </row>
    <row r="238" spans="1:27" s="2" customFormat="1" ht="38.25" customHeight="1" x14ac:dyDescent="0.2">
      <c r="A238" s="38" t="s">
        <v>451</v>
      </c>
      <c r="B238" s="8" t="s">
        <v>416</v>
      </c>
      <c r="C238" s="27" t="s">
        <v>693</v>
      </c>
      <c r="D238" s="8"/>
      <c r="E238" s="8"/>
      <c r="F238" s="15"/>
      <c r="G238" s="15"/>
      <c r="H238" s="15"/>
      <c r="I238" s="6"/>
      <c r="J238" s="97">
        <v>48479</v>
      </c>
      <c r="K238" s="34"/>
      <c r="L238" s="19">
        <v>16</v>
      </c>
      <c r="M238" s="19"/>
      <c r="N238" s="6"/>
      <c r="O238" s="22"/>
      <c r="P238" s="19"/>
      <c r="Q238" s="16"/>
      <c r="R238" s="9"/>
      <c r="S238" s="6"/>
      <c r="T238" s="6"/>
      <c r="U238" s="43"/>
      <c r="V238" s="46"/>
      <c r="W238" s="6"/>
      <c r="X238" s="6"/>
      <c r="Y238" s="91" t="s">
        <v>749</v>
      </c>
      <c r="Z238" s="91"/>
      <c r="AA238" s="57" t="s">
        <v>751</v>
      </c>
    </row>
    <row r="239" spans="1:27" s="2" customFormat="1" ht="38.25" customHeight="1" x14ac:dyDescent="0.2">
      <c r="A239" s="38" t="s">
        <v>451</v>
      </c>
      <c r="B239" s="8" t="s">
        <v>416</v>
      </c>
      <c r="C239" s="27"/>
      <c r="D239" s="8"/>
      <c r="E239" s="8"/>
      <c r="F239" s="15"/>
      <c r="G239" s="15"/>
      <c r="H239" s="15"/>
      <c r="I239" s="6"/>
      <c r="J239" s="97">
        <v>48821</v>
      </c>
      <c r="K239" s="34"/>
      <c r="L239" s="19">
        <v>24</v>
      </c>
      <c r="M239" s="19"/>
      <c r="N239" s="6"/>
      <c r="O239" s="22"/>
      <c r="P239" s="19"/>
      <c r="Q239" s="16"/>
      <c r="R239" s="9"/>
      <c r="S239" s="6"/>
      <c r="T239" s="6"/>
      <c r="U239" s="43"/>
      <c r="V239" s="46"/>
      <c r="W239" s="6"/>
      <c r="X239" s="6"/>
      <c r="Y239" s="91" t="s">
        <v>848</v>
      </c>
      <c r="Z239" s="91" t="s">
        <v>851</v>
      </c>
      <c r="AA239" s="57" t="s">
        <v>580</v>
      </c>
    </row>
    <row r="240" spans="1:27" s="2" customFormat="1" ht="38.25" customHeight="1" x14ac:dyDescent="0.2">
      <c r="A240" s="38" t="s">
        <v>451</v>
      </c>
      <c r="B240" s="8" t="s">
        <v>416</v>
      </c>
      <c r="C240" s="27"/>
      <c r="D240" s="8"/>
      <c r="E240" s="8"/>
      <c r="F240" s="15"/>
      <c r="G240" s="15"/>
      <c r="H240" s="15"/>
      <c r="I240" s="6"/>
      <c r="J240" s="97">
        <v>48822</v>
      </c>
      <c r="K240" s="34"/>
      <c r="L240" s="19">
        <v>16</v>
      </c>
      <c r="M240" s="19"/>
      <c r="N240" s="6"/>
      <c r="O240" s="22"/>
      <c r="P240" s="19"/>
      <c r="Q240" s="16"/>
      <c r="R240" s="9"/>
      <c r="S240" s="6"/>
      <c r="T240" s="6"/>
      <c r="U240" s="43"/>
      <c r="V240" s="46"/>
      <c r="W240" s="6"/>
      <c r="X240" s="6"/>
      <c r="Y240" s="91" t="s">
        <v>848</v>
      </c>
      <c r="Z240" s="91" t="s">
        <v>853</v>
      </c>
      <c r="AA240" s="57" t="s">
        <v>580</v>
      </c>
    </row>
    <row r="241" spans="1:27" s="2" customFormat="1" ht="38.25" customHeight="1" x14ac:dyDescent="0.2">
      <c r="A241" s="38" t="s">
        <v>451</v>
      </c>
      <c r="B241" s="8" t="s">
        <v>416</v>
      </c>
      <c r="C241" s="27"/>
      <c r="D241" s="8"/>
      <c r="E241" s="8"/>
      <c r="F241" s="15"/>
      <c r="G241" s="15"/>
      <c r="H241" s="15"/>
      <c r="I241" s="6"/>
      <c r="J241" s="97">
        <v>48823</v>
      </c>
      <c r="K241" s="34"/>
      <c r="L241" s="19">
        <v>16</v>
      </c>
      <c r="M241" s="19"/>
      <c r="N241" s="6"/>
      <c r="O241" s="22"/>
      <c r="P241" s="19"/>
      <c r="Q241" s="16"/>
      <c r="R241" s="9"/>
      <c r="S241" s="6"/>
      <c r="T241" s="6"/>
      <c r="U241" s="43"/>
      <c r="V241" s="46"/>
      <c r="W241" s="6"/>
      <c r="X241" s="6"/>
      <c r="Y241" s="91" t="s">
        <v>848</v>
      </c>
      <c r="Z241" s="91" t="s">
        <v>852</v>
      </c>
      <c r="AA241" s="57" t="s">
        <v>580</v>
      </c>
    </row>
    <row r="242" spans="1:27" s="2" customFormat="1" ht="38.25" customHeight="1" x14ac:dyDescent="0.2">
      <c r="A242" s="38" t="s">
        <v>451</v>
      </c>
      <c r="B242" s="8">
        <v>2000</v>
      </c>
      <c r="C242" s="27"/>
      <c r="D242" s="8"/>
      <c r="E242" s="8"/>
      <c r="F242" s="15"/>
      <c r="G242" s="15"/>
      <c r="H242" s="15"/>
      <c r="I242" s="6"/>
      <c r="J242" s="97">
        <v>25790</v>
      </c>
      <c r="K242" s="34"/>
      <c r="L242" s="19">
        <v>16</v>
      </c>
      <c r="M242" s="19"/>
      <c r="N242" s="6"/>
      <c r="O242" s="22"/>
      <c r="P242" s="19"/>
      <c r="Q242" s="16"/>
      <c r="R242" s="9"/>
      <c r="S242" s="6"/>
      <c r="T242" s="6"/>
      <c r="U242" s="43"/>
      <c r="V242" s="46"/>
      <c r="W242" s="6"/>
      <c r="X242" s="6"/>
      <c r="Y242" s="91"/>
      <c r="Z242" s="91"/>
      <c r="AA242" s="57" t="s">
        <v>858</v>
      </c>
    </row>
    <row r="243" spans="1:27" s="2" customFormat="1" ht="38.25" customHeight="1" x14ac:dyDescent="0.2">
      <c r="A243" s="39" t="s">
        <v>451</v>
      </c>
      <c r="B243" s="8" t="s">
        <v>76</v>
      </c>
      <c r="C243" s="9"/>
      <c r="D243" s="8"/>
      <c r="E243" s="8"/>
      <c r="F243" s="6"/>
      <c r="G243" s="6"/>
      <c r="H243" s="6"/>
      <c r="I243" s="6"/>
      <c r="J243" s="7">
        <v>28580</v>
      </c>
      <c r="K243" s="16" t="s">
        <v>548</v>
      </c>
      <c r="L243" s="6">
        <v>16</v>
      </c>
      <c r="M243" s="6"/>
      <c r="N243" s="8" t="s">
        <v>213</v>
      </c>
      <c r="O243" s="8" t="s">
        <v>211</v>
      </c>
      <c r="P243" s="6" t="s">
        <v>417</v>
      </c>
      <c r="Q243" s="16" t="s">
        <v>649</v>
      </c>
      <c r="R243" s="31"/>
      <c r="S243" s="19"/>
      <c r="T243" s="19"/>
      <c r="U243" s="44"/>
      <c r="V243" s="47"/>
      <c r="W243" s="19"/>
      <c r="X243" s="19"/>
      <c r="Y243" s="92"/>
      <c r="Z243" s="92"/>
      <c r="AA243" s="28"/>
    </row>
    <row r="244" spans="1:27" s="2" customFormat="1" ht="38.25" customHeight="1" x14ac:dyDescent="0.2">
      <c r="A244" s="38" t="s">
        <v>451</v>
      </c>
      <c r="B244" s="8" t="s">
        <v>76</v>
      </c>
      <c r="C244" s="9"/>
      <c r="D244" s="8"/>
      <c r="E244" s="8"/>
      <c r="F244" s="15"/>
      <c r="G244" s="15"/>
      <c r="H244" s="15"/>
      <c r="I244" s="6"/>
      <c r="J244" s="91">
        <v>46214</v>
      </c>
      <c r="K244" s="34" t="s">
        <v>210</v>
      </c>
      <c r="L244" s="19">
        <v>16</v>
      </c>
      <c r="M244" s="6"/>
      <c r="N244" s="19" t="s">
        <v>213</v>
      </c>
      <c r="O244" s="8" t="s">
        <v>211</v>
      </c>
      <c r="P244" s="6" t="s">
        <v>224</v>
      </c>
      <c r="Q244" s="16"/>
      <c r="R244" s="31"/>
      <c r="S244" s="6"/>
      <c r="T244" s="6"/>
      <c r="U244" s="43"/>
      <c r="V244" s="46"/>
      <c r="W244" s="6"/>
      <c r="X244" s="6"/>
      <c r="Y244" s="91"/>
      <c r="Z244" s="91"/>
      <c r="AA244" s="25" t="s">
        <v>653</v>
      </c>
    </row>
    <row r="245" spans="1:27" s="2" customFormat="1" ht="38.25" customHeight="1" x14ac:dyDescent="0.2">
      <c r="A245" s="38" t="s">
        <v>451</v>
      </c>
      <c r="B245" s="8" t="s">
        <v>76</v>
      </c>
      <c r="C245" s="9"/>
      <c r="D245" s="8"/>
      <c r="E245" s="8"/>
      <c r="F245" s="15"/>
      <c r="G245" s="15"/>
      <c r="H245" s="15"/>
      <c r="I245" s="6"/>
      <c r="J245" s="94">
        <v>29672</v>
      </c>
      <c r="K245" s="16" t="s">
        <v>326</v>
      </c>
      <c r="L245" s="6">
        <v>16</v>
      </c>
      <c r="M245" s="6">
        <v>0</v>
      </c>
      <c r="N245" s="6"/>
      <c r="O245" s="8" t="s">
        <v>211</v>
      </c>
      <c r="P245" s="6" t="s">
        <v>224</v>
      </c>
      <c r="Q245" s="16" t="s">
        <v>649</v>
      </c>
      <c r="R245" s="9"/>
      <c r="S245" s="6"/>
      <c r="T245" s="6"/>
      <c r="U245" s="43"/>
      <c r="V245" s="46"/>
      <c r="W245" s="6"/>
      <c r="X245" s="6"/>
      <c r="Y245" s="91"/>
      <c r="Z245" s="91"/>
      <c r="AA245" s="57"/>
    </row>
    <row r="246" spans="1:27" s="2" customFormat="1" ht="38.25" customHeight="1" x14ac:dyDescent="0.2">
      <c r="A246" s="38" t="s">
        <v>451</v>
      </c>
      <c r="B246" s="8" t="s">
        <v>76</v>
      </c>
      <c r="C246" s="9"/>
      <c r="D246" s="8"/>
      <c r="E246" s="8"/>
      <c r="F246" s="6"/>
      <c r="G246" s="6"/>
      <c r="H246" s="6"/>
      <c r="I246" s="6"/>
      <c r="J246" s="12">
        <v>37584</v>
      </c>
      <c r="K246" s="34" t="s">
        <v>210</v>
      </c>
      <c r="L246" s="6">
        <v>32</v>
      </c>
      <c r="M246" s="6">
        <v>0</v>
      </c>
      <c r="N246" s="6"/>
      <c r="O246" s="8" t="s">
        <v>211</v>
      </c>
      <c r="P246" s="6" t="s">
        <v>224</v>
      </c>
      <c r="Q246" s="16" t="s">
        <v>649</v>
      </c>
      <c r="R246" s="9" t="s">
        <v>485</v>
      </c>
      <c r="S246" s="6"/>
      <c r="T246" s="6"/>
      <c r="U246" s="43"/>
      <c r="V246" s="46"/>
      <c r="W246" s="6"/>
      <c r="X246" s="6"/>
      <c r="Y246" s="91"/>
      <c r="Z246" s="91"/>
      <c r="AA246" s="57" t="s">
        <v>757</v>
      </c>
    </row>
    <row r="247" spans="1:27" s="2" customFormat="1" ht="38.25" customHeight="1" x14ac:dyDescent="0.2">
      <c r="A247" s="38" t="s">
        <v>678</v>
      </c>
      <c r="B247" s="8" t="s">
        <v>416</v>
      </c>
      <c r="C247" s="9"/>
      <c r="D247" s="8"/>
      <c r="E247" s="8"/>
      <c r="F247" s="15"/>
      <c r="G247" s="15"/>
      <c r="H247" s="15"/>
      <c r="I247" s="6"/>
      <c r="J247" s="94">
        <v>46759</v>
      </c>
      <c r="K247" s="16"/>
      <c r="L247" s="6"/>
      <c r="M247" s="6"/>
      <c r="N247" s="6"/>
      <c r="O247" s="8"/>
      <c r="P247" s="6"/>
      <c r="Q247" s="16"/>
      <c r="R247" s="9"/>
      <c r="S247" s="6"/>
      <c r="T247" s="6"/>
      <c r="U247" s="43"/>
      <c r="V247" s="46"/>
      <c r="W247" s="6"/>
      <c r="X247" s="6"/>
      <c r="Y247" s="91" t="s">
        <v>681</v>
      </c>
      <c r="Z247" s="91"/>
      <c r="AA247" s="57"/>
    </row>
    <row r="248" spans="1:27" s="26" customFormat="1" ht="37.5" customHeight="1" x14ac:dyDescent="0.2">
      <c r="A248" s="38" t="s">
        <v>451</v>
      </c>
      <c r="B248" s="8" t="s">
        <v>416</v>
      </c>
      <c r="C248" s="9" t="s">
        <v>576</v>
      </c>
      <c r="D248" s="8">
        <v>130</v>
      </c>
      <c r="E248" s="8" t="s">
        <v>552</v>
      </c>
      <c r="F248" s="15"/>
      <c r="G248" s="15"/>
      <c r="H248" s="15"/>
      <c r="I248" s="6"/>
      <c r="J248" s="94">
        <v>47120</v>
      </c>
      <c r="K248" s="16" t="s">
        <v>548</v>
      </c>
      <c r="L248" s="6">
        <v>16</v>
      </c>
      <c r="M248" s="6">
        <v>0</v>
      </c>
      <c r="N248" s="6"/>
      <c r="O248" s="8" t="s">
        <v>211</v>
      </c>
      <c r="P248" s="6" t="s">
        <v>577</v>
      </c>
      <c r="Q248" s="16" t="s">
        <v>649</v>
      </c>
      <c r="R248" s="9"/>
      <c r="S248" s="6"/>
      <c r="T248" s="6"/>
      <c r="U248" s="43"/>
      <c r="V248" s="46"/>
      <c r="W248" s="6"/>
      <c r="X248" s="6"/>
      <c r="Y248" s="91" t="s">
        <v>684</v>
      </c>
      <c r="Z248" s="91"/>
      <c r="AA248" s="57" t="s">
        <v>573</v>
      </c>
    </row>
    <row r="249" spans="1:27" s="26" customFormat="1" ht="37.5" customHeight="1" x14ac:dyDescent="0.2">
      <c r="A249" s="39"/>
      <c r="B249" s="53"/>
      <c r="C249" s="9"/>
      <c r="D249" s="8"/>
      <c r="E249" s="8"/>
      <c r="F249" s="6"/>
      <c r="G249" s="6"/>
      <c r="H249" s="6"/>
      <c r="I249" s="6"/>
      <c r="J249" s="6"/>
      <c r="K249" s="16"/>
      <c r="L249" s="6"/>
      <c r="M249" s="6"/>
      <c r="N249" s="6"/>
      <c r="O249" s="8"/>
      <c r="P249" s="6"/>
      <c r="Q249" s="31"/>
      <c r="R249" s="31"/>
      <c r="S249" s="6"/>
      <c r="T249" s="6"/>
      <c r="U249" s="43"/>
      <c r="V249" s="46"/>
      <c r="W249" s="6"/>
      <c r="X249" s="6"/>
      <c r="Y249" s="92"/>
      <c r="Z249" s="92"/>
      <c r="AA249" s="28"/>
    </row>
    <row r="250" spans="1:27" s="26" customFormat="1" ht="37.5" customHeight="1" x14ac:dyDescent="0.2">
      <c r="A250" s="38" t="s">
        <v>451</v>
      </c>
      <c r="B250" s="8" t="s">
        <v>76</v>
      </c>
      <c r="C250" s="9"/>
      <c r="D250" s="8"/>
      <c r="E250" s="8"/>
      <c r="F250" s="6"/>
      <c r="G250" s="6"/>
      <c r="H250" s="6"/>
      <c r="I250" s="6"/>
      <c r="J250" s="13">
        <v>29836</v>
      </c>
      <c r="K250" s="16" t="s">
        <v>209</v>
      </c>
      <c r="L250" s="6">
        <v>16</v>
      </c>
      <c r="M250" s="6"/>
      <c r="N250" s="6"/>
      <c r="O250" s="8"/>
      <c r="P250" s="6" t="s">
        <v>224</v>
      </c>
      <c r="Q250" s="31" t="s">
        <v>860</v>
      </c>
      <c r="R250" s="9" t="s">
        <v>470</v>
      </c>
      <c r="S250" s="6"/>
      <c r="T250" s="6"/>
      <c r="U250" s="43"/>
      <c r="V250" s="46"/>
      <c r="W250" s="6"/>
      <c r="X250" s="6"/>
      <c r="Y250" s="91"/>
      <c r="Z250" s="91" t="s">
        <v>623</v>
      </c>
      <c r="AA250" s="32"/>
    </row>
    <row r="251" spans="1:27" ht="39" customHeight="1" x14ac:dyDescent="0.2">
      <c r="A251" s="100" t="s">
        <v>673</v>
      </c>
      <c r="B251" s="8" t="s">
        <v>76</v>
      </c>
      <c r="C251" s="9"/>
      <c r="D251" s="9"/>
      <c r="E251" s="8"/>
      <c r="F251" s="6"/>
      <c r="G251" s="6"/>
      <c r="H251" s="6"/>
      <c r="I251" s="6"/>
      <c r="J251" s="7">
        <v>27526</v>
      </c>
      <c r="K251" s="16" t="s">
        <v>204</v>
      </c>
      <c r="L251" s="6">
        <v>16</v>
      </c>
      <c r="M251" s="6"/>
      <c r="N251" s="6"/>
      <c r="O251" s="6" t="s">
        <v>211</v>
      </c>
      <c r="P251" s="6">
        <v>2000</v>
      </c>
      <c r="Q251" s="16" t="s">
        <v>533</v>
      </c>
      <c r="R251" s="9" t="s">
        <v>435</v>
      </c>
      <c r="S251" s="6"/>
      <c r="T251" s="6"/>
      <c r="U251" s="43"/>
      <c r="V251" s="46"/>
      <c r="W251" s="6"/>
      <c r="X251" s="6"/>
      <c r="Y251" s="91"/>
      <c r="Z251" s="91"/>
      <c r="AA251" s="99" t="s">
        <v>664</v>
      </c>
    </row>
    <row r="252" spans="1:27" ht="15.75" x14ac:dyDescent="0.25">
      <c r="J252" s="84" t="s">
        <v>516</v>
      </c>
      <c r="K252" s="83"/>
      <c r="U252" s="301" t="e">
        <f>SUM(#REF!)</f>
        <v>#REF!</v>
      </c>
      <c r="V252" s="302"/>
    </row>
    <row r="253" spans="1:27" ht="20.25" x14ac:dyDescent="0.3">
      <c r="A253" s="62" t="s">
        <v>207</v>
      </c>
      <c r="B253" s="63">
        <f>COUNTIF(B3:B231,"v5")</f>
        <v>74</v>
      </c>
      <c r="C253" s="64" t="s">
        <v>416</v>
      </c>
    </row>
    <row r="254" spans="1:27" ht="20.25" x14ac:dyDescent="0.3">
      <c r="A254" s="62" t="s">
        <v>207</v>
      </c>
      <c r="B254" s="63">
        <f>COUNTIF(B3:B231,"v4")</f>
        <v>103</v>
      </c>
      <c r="C254" s="64" t="s">
        <v>76</v>
      </c>
      <c r="J254" s="70"/>
      <c r="K254" s="1" t="s">
        <v>489</v>
      </c>
      <c r="L254" s="82"/>
    </row>
    <row r="255" spans="1:27" ht="20.25" x14ac:dyDescent="0.3">
      <c r="A255" s="62" t="s">
        <v>207</v>
      </c>
      <c r="B255" s="63">
        <f>COUNTIF(B3:B232,"T5")</f>
        <v>17</v>
      </c>
      <c r="C255" s="64" t="s">
        <v>539</v>
      </c>
      <c r="J255" s="70"/>
      <c r="L255" s="82"/>
    </row>
    <row r="256" spans="1:27" ht="20.25" x14ac:dyDescent="0.3">
      <c r="A256" s="62" t="s">
        <v>207</v>
      </c>
      <c r="B256" s="63">
        <f>COUNTIF(B3:B231,"2000")</f>
        <v>26</v>
      </c>
      <c r="C256" s="64" t="s">
        <v>468</v>
      </c>
    </row>
    <row r="257" spans="1:15" ht="20.25" x14ac:dyDescent="0.3">
      <c r="A257" s="62" t="s">
        <v>207</v>
      </c>
      <c r="B257" s="63">
        <f>COUNTIF(B3:B231,"Reorg")</f>
        <v>2</v>
      </c>
      <c r="C257" s="64" t="s">
        <v>467</v>
      </c>
    </row>
    <row r="258" spans="1:15" ht="20.25" x14ac:dyDescent="0.3">
      <c r="A258" s="62" t="s">
        <v>207</v>
      </c>
      <c r="B258" s="63">
        <f>COUNTIF(B3:B231,"Hommel")</f>
        <v>2</v>
      </c>
      <c r="C258" s="64" t="s">
        <v>469</v>
      </c>
    </row>
    <row r="259" spans="1:15" ht="20.25" x14ac:dyDescent="0.3">
      <c r="A259" s="62" t="s">
        <v>207</v>
      </c>
      <c r="B259" s="63">
        <f>COUNTIF(B3:B230,"Zeiss")</f>
        <v>1</v>
      </c>
      <c r="C259" s="64" t="s">
        <v>459</v>
      </c>
    </row>
    <row r="260" spans="1:15" ht="20.25" x14ac:dyDescent="0.3">
      <c r="A260" s="41" t="s">
        <v>414</v>
      </c>
      <c r="B260" s="63">
        <f>SUM(B253:B259)</f>
        <v>225</v>
      </c>
    </row>
    <row r="264" spans="1:15" x14ac:dyDescent="0.2">
      <c r="C264" s="4" t="s">
        <v>501</v>
      </c>
      <c r="D264" s="1">
        <v>15</v>
      </c>
      <c r="E264" s="1" t="s">
        <v>502</v>
      </c>
      <c r="K264" s="8"/>
      <c r="L264" s="6"/>
      <c r="M264" s="6"/>
      <c r="N264" s="6"/>
    </row>
    <row r="265" spans="1:15" x14ac:dyDescent="0.2">
      <c r="C265" s="4" t="s">
        <v>503</v>
      </c>
      <c r="D265" s="1">
        <v>8</v>
      </c>
      <c r="E265" s="1" t="s">
        <v>502</v>
      </c>
      <c r="O265" s="76"/>
    </row>
    <row r="266" spans="1:15" x14ac:dyDescent="0.2">
      <c r="C266" s="4" t="s">
        <v>504</v>
      </c>
      <c r="D266" s="1">
        <v>146</v>
      </c>
      <c r="E266" s="1" t="s">
        <v>502</v>
      </c>
    </row>
    <row r="267" spans="1:15" x14ac:dyDescent="0.2">
      <c r="C267" s="4" t="s">
        <v>505</v>
      </c>
      <c r="D267" s="1">
        <v>8</v>
      </c>
      <c r="E267" s="1" t="s">
        <v>502</v>
      </c>
    </row>
  </sheetData>
  <autoFilter ref="A1:AA260" xr:uid="{00000000-0009-0000-0000-000001000000}">
    <filterColumn colId="5" showButton="0"/>
    <filterColumn colId="11" showButton="0"/>
  </autoFilter>
  <dataConsolidate/>
  <mergeCells count="24">
    <mergeCell ref="U252:V252"/>
    <mergeCell ref="AA1:AA2"/>
    <mergeCell ref="X1:X2"/>
    <mergeCell ref="F1:G1"/>
    <mergeCell ref="H1:H2"/>
    <mergeCell ref="I1:I2"/>
    <mergeCell ref="J1:J2"/>
    <mergeCell ref="K1:K2"/>
    <mergeCell ref="L1:M1"/>
    <mergeCell ref="N1:N2"/>
    <mergeCell ref="O1:O2"/>
    <mergeCell ref="P1:P2"/>
    <mergeCell ref="V1:V2"/>
    <mergeCell ref="W1:W2"/>
    <mergeCell ref="U1:U2"/>
    <mergeCell ref="R1:R2"/>
    <mergeCell ref="S1:S2"/>
    <mergeCell ref="Q1:Q2"/>
    <mergeCell ref="T1:T2"/>
    <mergeCell ref="A1:A2"/>
    <mergeCell ref="B1:B2"/>
    <mergeCell ref="C1:C2"/>
    <mergeCell ref="D1:D2"/>
    <mergeCell ref="E1:E2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headerFooter alignWithMargins="0">
    <oddHeader xml:space="preserve">&amp;C&amp;"Arial,Fett"&amp;16Handmessplätze </oddHeader>
    <oddFooter xml:space="preserve">&amp;L&amp;Z&amp;F&amp;CSeite &amp;P von &amp;N
&amp;R&amp;D
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>
    <pageSetUpPr fitToPage="1"/>
  </sheetPr>
  <dimension ref="A1:M65"/>
  <sheetViews>
    <sheetView zoomScaleNormal="100" workbookViewId="0">
      <pane ySplit="2" topLeftCell="A37" activePane="bottomLeft" state="frozen"/>
      <selection pane="bottomLeft" activeCell="N32" sqref="N32"/>
    </sheetView>
  </sheetViews>
  <sheetFormatPr baseColWidth="10" defaultRowHeight="12.75" x14ac:dyDescent="0.2"/>
  <cols>
    <col min="1" max="1" width="10.5703125" style="41" customWidth="1"/>
    <col min="2" max="2" width="6.7109375" style="3" customWidth="1"/>
    <col min="3" max="3" width="25.7109375" style="4" customWidth="1"/>
    <col min="4" max="4" width="5.7109375" style="1" customWidth="1"/>
    <col min="5" max="5" width="6.7109375" style="1" customWidth="1"/>
    <col min="6" max="6" width="4.7109375" style="1" customWidth="1"/>
    <col min="7" max="8" width="6.7109375" style="1" customWidth="1"/>
    <col min="9" max="9" width="8.7109375" style="1" customWidth="1"/>
    <col min="10" max="10" width="9.28515625" style="1" customWidth="1"/>
    <col min="11" max="11" width="8.7109375" customWidth="1"/>
    <col min="12" max="12" width="15.42578125" style="144" customWidth="1"/>
    <col min="13" max="13" width="20.5703125" style="1" customWidth="1"/>
  </cols>
  <sheetData>
    <row r="1" spans="1:13" s="40" customFormat="1" ht="34.5" customHeight="1" x14ac:dyDescent="0.2">
      <c r="A1" s="297" t="s">
        <v>225</v>
      </c>
      <c r="B1" s="279" t="s">
        <v>0</v>
      </c>
      <c r="C1" s="299" t="s">
        <v>226</v>
      </c>
      <c r="D1" s="296" t="s">
        <v>139</v>
      </c>
      <c r="E1" s="279" t="s">
        <v>193</v>
      </c>
      <c r="F1" s="289" t="s">
        <v>1</v>
      </c>
      <c r="G1" s="290"/>
      <c r="H1" s="279" t="s">
        <v>227</v>
      </c>
      <c r="I1" s="279" t="s">
        <v>228</v>
      </c>
      <c r="J1" s="279" t="s">
        <v>192</v>
      </c>
      <c r="K1" s="279" t="s">
        <v>205</v>
      </c>
      <c r="L1" s="279" t="s">
        <v>800</v>
      </c>
      <c r="M1" s="309" t="s">
        <v>142</v>
      </c>
    </row>
    <row r="2" spans="1:13" s="40" customFormat="1" ht="19.5" hidden="1" customHeight="1" x14ac:dyDescent="0.2">
      <c r="A2" s="298"/>
      <c r="B2" s="291"/>
      <c r="C2" s="300"/>
      <c r="D2" s="286"/>
      <c r="E2" s="286"/>
      <c r="F2" s="35" t="s">
        <v>140</v>
      </c>
      <c r="G2" s="36" t="s">
        <v>141</v>
      </c>
      <c r="H2" s="291"/>
      <c r="I2" s="286"/>
      <c r="J2" s="286"/>
      <c r="K2" s="311"/>
      <c r="L2" s="291"/>
      <c r="M2" s="309"/>
    </row>
    <row r="3" spans="1:13" s="2" customFormat="1" ht="38.25" customHeight="1" x14ac:dyDescent="0.2">
      <c r="A3" s="130" t="s">
        <v>102</v>
      </c>
      <c r="B3" s="131" t="s">
        <v>76</v>
      </c>
      <c r="C3" s="27" t="s">
        <v>363</v>
      </c>
      <c r="D3" s="22" t="s">
        <v>221</v>
      </c>
      <c r="E3" s="22" t="s">
        <v>222</v>
      </c>
      <c r="F3" s="19" t="s">
        <v>53</v>
      </c>
      <c r="G3" s="19" t="s">
        <v>241</v>
      </c>
      <c r="H3" s="19">
        <v>209</v>
      </c>
      <c r="I3" s="19">
        <v>27523</v>
      </c>
      <c r="J3" s="34" t="s">
        <v>209</v>
      </c>
      <c r="K3" s="19">
        <v>16</v>
      </c>
      <c r="L3" s="132" t="s">
        <v>801</v>
      </c>
      <c r="M3" s="74" t="s">
        <v>802</v>
      </c>
    </row>
    <row r="4" spans="1:13" s="2" customFormat="1" ht="38.25" customHeight="1" x14ac:dyDescent="0.2">
      <c r="A4" s="130" t="s">
        <v>103</v>
      </c>
      <c r="B4" s="131" t="s">
        <v>76</v>
      </c>
      <c r="C4" s="27" t="s">
        <v>364</v>
      </c>
      <c r="D4" s="22" t="s">
        <v>221</v>
      </c>
      <c r="E4" s="22" t="s">
        <v>222</v>
      </c>
      <c r="F4" s="19" t="s">
        <v>53</v>
      </c>
      <c r="G4" s="19" t="s">
        <v>242</v>
      </c>
      <c r="H4" s="19">
        <v>213</v>
      </c>
      <c r="I4" s="19">
        <v>30979</v>
      </c>
      <c r="J4" s="34" t="s">
        <v>210</v>
      </c>
      <c r="K4" s="19">
        <v>16</v>
      </c>
      <c r="L4" s="132" t="s">
        <v>801</v>
      </c>
      <c r="M4" s="74" t="s">
        <v>802</v>
      </c>
    </row>
    <row r="5" spans="1:13" s="2" customFormat="1" ht="38.25" customHeight="1" x14ac:dyDescent="0.2">
      <c r="A5" s="130" t="s">
        <v>104</v>
      </c>
      <c r="B5" s="131" t="s">
        <v>76</v>
      </c>
      <c r="C5" s="27" t="s">
        <v>363</v>
      </c>
      <c r="D5" s="22">
        <v>90</v>
      </c>
      <c r="E5" s="22" t="s">
        <v>222</v>
      </c>
      <c r="F5" s="19" t="s">
        <v>3</v>
      </c>
      <c r="G5" s="19" t="s">
        <v>260</v>
      </c>
      <c r="H5" s="19">
        <v>198</v>
      </c>
      <c r="I5" s="19">
        <v>28575</v>
      </c>
      <c r="J5" s="34" t="s">
        <v>201</v>
      </c>
      <c r="K5" s="19">
        <v>16</v>
      </c>
      <c r="L5" s="132" t="s">
        <v>801</v>
      </c>
      <c r="M5" s="74" t="s">
        <v>802</v>
      </c>
    </row>
    <row r="6" spans="1:13" s="2" customFormat="1" ht="38.25" hidden="1" customHeight="1" x14ac:dyDescent="0.2">
      <c r="A6" s="130" t="s">
        <v>105</v>
      </c>
      <c r="B6" s="133">
        <v>2000</v>
      </c>
      <c r="C6" s="27" t="s">
        <v>294</v>
      </c>
      <c r="D6" s="22">
        <v>80</v>
      </c>
      <c r="E6" s="22" t="s">
        <v>222</v>
      </c>
      <c r="F6" s="19" t="s">
        <v>3</v>
      </c>
      <c r="G6" s="19" t="s">
        <v>267</v>
      </c>
      <c r="H6" s="19">
        <v>153</v>
      </c>
      <c r="I6" s="19">
        <v>26042</v>
      </c>
      <c r="J6" s="34" t="s">
        <v>201</v>
      </c>
      <c r="K6" s="19">
        <v>16</v>
      </c>
      <c r="L6" s="134" t="s">
        <v>803</v>
      </c>
      <c r="M6" s="74" t="s">
        <v>804</v>
      </c>
    </row>
    <row r="7" spans="1:13" s="2" customFormat="1" ht="38.25" hidden="1" customHeight="1" x14ac:dyDescent="0.2">
      <c r="A7" s="130" t="s">
        <v>106</v>
      </c>
      <c r="B7" s="133">
        <v>2000</v>
      </c>
      <c r="C7" s="27" t="s">
        <v>364</v>
      </c>
      <c r="D7" s="22">
        <v>60</v>
      </c>
      <c r="E7" s="22" t="s">
        <v>222</v>
      </c>
      <c r="F7" s="19" t="s">
        <v>53</v>
      </c>
      <c r="G7" s="19" t="s">
        <v>245</v>
      </c>
      <c r="H7" s="19">
        <v>208</v>
      </c>
      <c r="I7" s="19">
        <v>26033</v>
      </c>
      <c r="J7" s="34" t="s">
        <v>209</v>
      </c>
      <c r="K7" s="19">
        <v>16</v>
      </c>
      <c r="L7" s="134" t="s">
        <v>803</v>
      </c>
      <c r="M7" s="74" t="s">
        <v>804</v>
      </c>
    </row>
    <row r="8" spans="1:13" s="2" customFormat="1" ht="38.25" hidden="1" customHeight="1" x14ac:dyDescent="0.2">
      <c r="A8" s="130" t="s">
        <v>107</v>
      </c>
      <c r="B8" s="133">
        <v>2000</v>
      </c>
      <c r="C8" s="27" t="s">
        <v>363</v>
      </c>
      <c r="D8" s="22">
        <v>60</v>
      </c>
      <c r="E8" s="22" t="s">
        <v>222</v>
      </c>
      <c r="F8" s="19" t="s">
        <v>53</v>
      </c>
      <c r="G8" s="19" t="s">
        <v>246</v>
      </c>
      <c r="H8" s="19">
        <v>207</v>
      </c>
      <c r="I8" s="19">
        <v>26017</v>
      </c>
      <c r="J8" s="34" t="s">
        <v>209</v>
      </c>
      <c r="K8" s="19">
        <v>16</v>
      </c>
      <c r="L8" s="134" t="s">
        <v>803</v>
      </c>
      <c r="M8" s="74" t="s">
        <v>804</v>
      </c>
    </row>
    <row r="9" spans="1:13" s="2" customFormat="1" ht="38.25" customHeight="1" x14ac:dyDescent="0.2">
      <c r="A9" s="130" t="s">
        <v>109</v>
      </c>
      <c r="B9" s="131" t="s">
        <v>76</v>
      </c>
      <c r="C9" s="27" t="s">
        <v>364</v>
      </c>
      <c r="D9" s="22" t="s">
        <v>295</v>
      </c>
      <c r="E9" s="22" t="s">
        <v>222</v>
      </c>
      <c r="F9" s="19" t="s">
        <v>53</v>
      </c>
      <c r="G9" s="19" t="s">
        <v>152</v>
      </c>
      <c r="H9" s="19">
        <v>217</v>
      </c>
      <c r="I9" s="22">
        <v>29836</v>
      </c>
      <c r="J9" s="34" t="s">
        <v>209</v>
      </c>
      <c r="K9" s="19">
        <v>16</v>
      </c>
      <c r="L9" s="132" t="s">
        <v>801</v>
      </c>
      <c r="M9" s="74" t="s">
        <v>802</v>
      </c>
    </row>
    <row r="10" spans="1:13" s="2" customFormat="1" ht="38.25" customHeight="1" x14ac:dyDescent="0.2">
      <c r="A10" s="130" t="s">
        <v>110</v>
      </c>
      <c r="B10" s="131" t="s">
        <v>76</v>
      </c>
      <c r="C10" s="27" t="s">
        <v>364</v>
      </c>
      <c r="D10" s="22">
        <v>90</v>
      </c>
      <c r="E10" s="22" t="s">
        <v>222</v>
      </c>
      <c r="F10" s="19" t="s">
        <v>3</v>
      </c>
      <c r="G10" s="19" t="s">
        <v>260</v>
      </c>
      <c r="H10" s="19">
        <v>199</v>
      </c>
      <c r="I10" s="19">
        <v>29789</v>
      </c>
      <c r="J10" s="34" t="s">
        <v>210</v>
      </c>
      <c r="K10" s="19">
        <v>32</v>
      </c>
      <c r="L10" s="135" t="s">
        <v>805</v>
      </c>
      <c r="M10" s="136" t="s">
        <v>806</v>
      </c>
    </row>
    <row r="11" spans="1:13" s="2" customFormat="1" ht="38.25" customHeight="1" x14ac:dyDescent="0.2">
      <c r="A11" s="130" t="s">
        <v>111</v>
      </c>
      <c r="B11" s="131" t="s">
        <v>76</v>
      </c>
      <c r="C11" s="27" t="s">
        <v>296</v>
      </c>
      <c r="D11" s="22">
        <v>20</v>
      </c>
      <c r="E11" s="22" t="s">
        <v>222</v>
      </c>
      <c r="F11" s="19" t="s">
        <v>53</v>
      </c>
      <c r="G11" s="19" t="s">
        <v>232</v>
      </c>
      <c r="H11" s="19">
        <v>79</v>
      </c>
      <c r="I11" s="19">
        <v>29795</v>
      </c>
      <c r="J11" s="34" t="s">
        <v>209</v>
      </c>
      <c r="K11" s="19">
        <v>16</v>
      </c>
      <c r="L11" s="132" t="s">
        <v>801</v>
      </c>
      <c r="M11" s="74" t="s">
        <v>802</v>
      </c>
    </row>
    <row r="12" spans="1:13" s="2" customFormat="1" ht="38.25" hidden="1" customHeight="1" x14ac:dyDescent="0.2">
      <c r="A12" s="130" t="s">
        <v>112</v>
      </c>
      <c r="B12" s="133">
        <v>2000</v>
      </c>
      <c r="C12" s="27" t="s">
        <v>314</v>
      </c>
      <c r="D12" s="22" t="s">
        <v>195</v>
      </c>
      <c r="E12" s="22" t="s">
        <v>222</v>
      </c>
      <c r="F12" s="19" t="s">
        <v>57</v>
      </c>
      <c r="G12" s="19" t="s">
        <v>271</v>
      </c>
      <c r="H12" s="19">
        <v>234</v>
      </c>
      <c r="I12" s="19">
        <v>26022</v>
      </c>
      <c r="J12" s="34" t="s">
        <v>209</v>
      </c>
      <c r="K12" s="19">
        <v>16</v>
      </c>
      <c r="L12" s="134" t="s">
        <v>803</v>
      </c>
      <c r="M12" s="74" t="s">
        <v>804</v>
      </c>
    </row>
    <row r="13" spans="1:13" s="2" customFormat="1" ht="38.25" customHeight="1" x14ac:dyDescent="0.2">
      <c r="A13" s="130" t="s">
        <v>114</v>
      </c>
      <c r="B13" s="133">
        <v>2000</v>
      </c>
      <c r="C13" s="27" t="s">
        <v>365</v>
      </c>
      <c r="D13" s="22">
        <v>20</v>
      </c>
      <c r="E13" s="22" t="s">
        <v>222</v>
      </c>
      <c r="F13" s="19" t="s">
        <v>53</v>
      </c>
      <c r="G13" s="19" t="s">
        <v>113</v>
      </c>
      <c r="H13" s="19">
        <v>211</v>
      </c>
      <c r="I13" s="19">
        <v>26021</v>
      </c>
      <c r="J13" s="34" t="s">
        <v>209</v>
      </c>
      <c r="K13" s="19">
        <v>16</v>
      </c>
      <c r="L13" s="132" t="s">
        <v>801</v>
      </c>
      <c r="M13" s="74" t="s">
        <v>802</v>
      </c>
    </row>
    <row r="14" spans="1:13" s="2" customFormat="1" ht="38.25" customHeight="1" x14ac:dyDescent="0.2">
      <c r="A14" s="130" t="s">
        <v>115</v>
      </c>
      <c r="B14" s="133">
        <v>2000</v>
      </c>
      <c r="C14" s="27" t="s">
        <v>297</v>
      </c>
      <c r="D14" s="22">
        <v>30</v>
      </c>
      <c r="E14" s="22" t="s">
        <v>222</v>
      </c>
      <c r="F14" s="19" t="s">
        <v>57</v>
      </c>
      <c r="G14" s="19" t="s">
        <v>274</v>
      </c>
      <c r="H14" s="19">
        <v>226</v>
      </c>
      <c r="I14" s="22" t="s">
        <v>293</v>
      </c>
      <c r="J14" s="34" t="s">
        <v>201</v>
      </c>
      <c r="K14" s="19">
        <v>16</v>
      </c>
      <c r="L14" s="132" t="s">
        <v>801</v>
      </c>
      <c r="M14" s="74" t="s">
        <v>802</v>
      </c>
    </row>
    <row r="15" spans="1:13" s="2" customFormat="1" ht="38.25" hidden="1" customHeight="1" x14ac:dyDescent="0.2">
      <c r="A15" s="130" t="s">
        <v>116</v>
      </c>
      <c r="B15" s="133">
        <v>2000</v>
      </c>
      <c r="C15" s="27" t="s">
        <v>298</v>
      </c>
      <c r="D15" s="22">
        <v>20</v>
      </c>
      <c r="E15" s="22" t="s">
        <v>222</v>
      </c>
      <c r="F15" s="19" t="s">
        <v>57</v>
      </c>
      <c r="G15" s="19" t="s">
        <v>275</v>
      </c>
      <c r="H15" s="19">
        <v>220</v>
      </c>
      <c r="I15" s="19">
        <v>26035</v>
      </c>
      <c r="J15" s="34" t="s">
        <v>201</v>
      </c>
      <c r="K15" s="19">
        <v>16</v>
      </c>
      <c r="L15" s="134" t="s">
        <v>803</v>
      </c>
      <c r="M15" s="74" t="s">
        <v>804</v>
      </c>
    </row>
    <row r="16" spans="1:13" s="2" customFormat="1" ht="38.25" customHeight="1" x14ac:dyDescent="0.2">
      <c r="A16" s="130" t="s">
        <v>117</v>
      </c>
      <c r="B16" s="133">
        <v>2000</v>
      </c>
      <c r="C16" s="27" t="s">
        <v>299</v>
      </c>
      <c r="D16" s="22">
        <v>70</v>
      </c>
      <c r="E16" s="22" t="s">
        <v>222</v>
      </c>
      <c r="F16" s="19" t="s">
        <v>3</v>
      </c>
      <c r="G16" s="19" t="s">
        <v>269</v>
      </c>
      <c r="H16" s="19">
        <v>169</v>
      </c>
      <c r="I16" s="19">
        <v>25915</v>
      </c>
      <c r="J16" s="34" t="s">
        <v>201</v>
      </c>
      <c r="K16" s="19">
        <v>16</v>
      </c>
      <c r="L16" s="132" t="s">
        <v>801</v>
      </c>
      <c r="M16" s="74" t="s">
        <v>802</v>
      </c>
    </row>
    <row r="17" spans="1:13" s="2" customFormat="1" ht="38.25" hidden="1" customHeight="1" x14ac:dyDescent="0.2">
      <c r="A17" s="130" t="s">
        <v>118</v>
      </c>
      <c r="B17" s="133">
        <v>2000</v>
      </c>
      <c r="C17" s="27" t="s">
        <v>300</v>
      </c>
      <c r="D17" s="22">
        <v>30</v>
      </c>
      <c r="E17" s="22" t="s">
        <v>222</v>
      </c>
      <c r="F17" s="19" t="s">
        <v>57</v>
      </c>
      <c r="G17" s="19" t="s">
        <v>274</v>
      </c>
      <c r="H17" s="19">
        <v>223</v>
      </c>
      <c r="I17" s="19">
        <v>25905</v>
      </c>
      <c r="J17" s="34" t="s">
        <v>201</v>
      </c>
      <c r="K17" s="19">
        <v>16</v>
      </c>
      <c r="L17" s="134" t="s">
        <v>803</v>
      </c>
      <c r="M17" s="74" t="s">
        <v>804</v>
      </c>
    </row>
    <row r="18" spans="1:13" s="2" customFormat="1" ht="38.25" customHeight="1" x14ac:dyDescent="0.2">
      <c r="A18" s="130" t="s">
        <v>119</v>
      </c>
      <c r="B18" s="133">
        <v>2000</v>
      </c>
      <c r="C18" s="27" t="s">
        <v>301</v>
      </c>
      <c r="D18" s="22">
        <v>40</v>
      </c>
      <c r="E18" s="22" t="s">
        <v>222</v>
      </c>
      <c r="F18" s="19" t="s">
        <v>57</v>
      </c>
      <c r="G18" s="19" t="s">
        <v>274</v>
      </c>
      <c r="H18" s="19">
        <v>224</v>
      </c>
      <c r="I18" s="22" t="s">
        <v>438</v>
      </c>
      <c r="J18" s="34" t="s">
        <v>201</v>
      </c>
      <c r="K18" s="19">
        <v>16</v>
      </c>
      <c r="L18" s="132" t="s">
        <v>801</v>
      </c>
      <c r="M18" s="74" t="s">
        <v>802</v>
      </c>
    </row>
    <row r="19" spans="1:13" s="2" customFormat="1" ht="38.25" customHeight="1" x14ac:dyDescent="0.2">
      <c r="A19" s="130" t="s">
        <v>120</v>
      </c>
      <c r="B19" s="131" t="s">
        <v>76</v>
      </c>
      <c r="C19" s="27" t="s">
        <v>302</v>
      </c>
      <c r="D19" s="22" t="s">
        <v>221</v>
      </c>
      <c r="E19" s="22" t="s">
        <v>222</v>
      </c>
      <c r="F19" s="19" t="s">
        <v>53</v>
      </c>
      <c r="G19" s="19" t="s">
        <v>237</v>
      </c>
      <c r="H19" s="19">
        <v>315</v>
      </c>
      <c r="I19" s="22">
        <v>31527</v>
      </c>
      <c r="J19" s="34" t="s">
        <v>289</v>
      </c>
      <c r="K19" s="19">
        <v>16</v>
      </c>
      <c r="L19" s="132" t="s">
        <v>801</v>
      </c>
      <c r="M19" s="74" t="s">
        <v>802</v>
      </c>
    </row>
    <row r="20" spans="1:13" s="2" customFormat="1" ht="38.25" customHeight="1" x14ac:dyDescent="0.2">
      <c r="A20" s="130" t="s">
        <v>121</v>
      </c>
      <c r="B20" s="133">
        <v>2000</v>
      </c>
      <c r="C20" s="27" t="s">
        <v>313</v>
      </c>
      <c r="D20" s="22" t="s">
        <v>195</v>
      </c>
      <c r="E20" s="22" t="s">
        <v>222</v>
      </c>
      <c r="F20" s="19" t="s">
        <v>57</v>
      </c>
      <c r="G20" s="19" t="s">
        <v>113</v>
      </c>
      <c r="H20" s="19">
        <v>80</v>
      </c>
      <c r="I20" s="22" t="s">
        <v>293</v>
      </c>
      <c r="J20" s="34" t="s">
        <v>287</v>
      </c>
      <c r="K20" s="19">
        <v>16</v>
      </c>
      <c r="L20" s="135" t="s">
        <v>807</v>
      </c>
      <c r="M20" s="136" t="s">
        <v>808</v>
      </c>
    </row>
    <row r="21" spans="1:13" s="2" customFormat="1" ht="38.25" customHeight="1" x14ac:dyDescent="0.2">
      <c r="A21" s="130" t="s">
        <v>122</v>
      </c>
      <c r="B21" s="137" t="s">
        <v>416</v>
      </c>
      <c r="C21" s="27" t="s">
        <v>809</v>
      </c>
      <c r="D21" s="22" t="s">
        <v>305</v>
      </c>
      <c r="E21" s="22" t="s">
        <v>222</v>
      </c>
      <c r="F21" s="19" t="s">
        <v>3</v>
      </c>
      <c r="G21" s="19" t="s">
        <v>262</v>
      </c>
      <c r="H21" s="19">
        <v>104</v>
      </c>
      <c r="I21" s="138">
        <v>41900</v>
      </c>
      <c r="J21" s="34" t="s">
        <v>515</v>
      </c>
      <c r="K21" s="19">
        <v>16</v>
      </c>
      <c r="L21" s="132" t="s">
        <v>801</v>
      </c>
      <c r="M21" s="136" t="s">
        <v>810</v>
      </c>
    </row>
    <row r="22" spans="1:13" s="2" customFormat="1" ht="38.25" hidden="1" customHeight="1" x14ac:dyDescent="0.2">
      <c r="A22" s="130" t="s">
        <v>123</v>
      </c>
      <c r="B22" s="133">
        <v>2000</v>
      </c>
      <c r="C22" s="27" t="s">
        <v>311</v>
      </c>
      <c r="D22" s="22" t="s">
        <v>195</v>
      </c>
      <c r="E22" s="22" t="s">
        <v>222</v>
      </c>
      <c r="F22" s="19" t="s">
        <v>57</v>
      </c>
      <c r="G22" s="19" t="s">
        <v>161</v>
      </c>
      <c r="H22" s="19">
        <v>248</v>
      </c>
      <c r="I22" s="19">
        <v>25896</v>
      </c>
      <c r="J22" s="34" t="s">
        <v>290</v>
      </c>
      <c r="K22" s="19">
        <v>16</v>
      </c>
      <c r="L22" s="134" t="s">
        <v>803</v>
      </c>
      <c r="M22" s="74" t="s">
        <v>804</v>
      </c>
    </row>
    <row r="23" spans="1:13" s="2" customFormat="1" ht="38.25" customHeight="1" x14ac:dyDescent="0.2">
      <c r="A23" s="130" t="s">
        <v>124</v>
      </c>
      <c r="B23" s="131" t="s">
        <v>76</v>
      </c>
      <c r="C23" s="27" t="s">
        <v>307</v>
      </c>
      <c r="D23" s="22">
        <v>10</v>
      </c>
      <c r="E23" s="22" t="s">
        <v>222</v>
      </c>
      <c r="F23" s="19" t="s">
        <v>53</v>
      </c>
      <c r="G23" s="19" t="s">
        <v>62</v>
      </c>
      <c r="H23" s="19">
        <v>77</v>
      </c>
      <c r="I23" s="19">
        <v>30547</v>
      </c>
      <c r="J23" s="34" t="s">
        <v>210</v>
      </c>
      <c r="K23" s="19">
        <v>16</v>
      </c>
      <c r="L23" s="135" t="s">
        <v>807</v>
      </c>
      <c r="M23" s="136" t="s">
        <v>811</v>
      </c>
    </row>
    <row r="24" spans="1:13" s="2" customFormat="1" ht="38.25" customHeight="1" x14ac:dyDescent="0.2">
      <c r="A24" s="130" t="s">
        <v>125</v>
      </c>
      <c r="B24" s="139" t="s">
        <v>539</v>
      </c>
      <c r="C24" s="27" t="s">
        <v>308</v>
      </c>
      <c r="D24" s="22">
        <v>10</v>
      </c>
      <c r="E24" s="22" t="s">
        <v>222</v>
      </c>
      <c r="F24" s="19" t="s">
        <v>53</v>
      </c>
      <c r="G24" s="19" t="s">
        <v>233</v>
      </c>
      <c r="H24" s="19">
        <v>254</v>
      </c>
      <c r="I24" s="19">
        <v>47438</v>
      </c>
      <c r="J24" s="34" t="s">
        <v>209</v>
      </c>
      <c r="K24" s="19">
        <v>16</v>
      </c>
      <c r="L24" s="132" t="s">
        <v>801</v>
      </c>
      <c r="M24" s="74" t="s">
        <v>802</v>
      </c>
    </row>
    <row r="25" spans="1:13" s="2" customFormat="1" ht="38.25" hidden="1" customHeight="1" x14ac:dyDescent="0.2">
      <c r="A25" s="130" t="s">
        <v>126</v>
      </c>
      <c r="B25" s="133">
        <v>2000</v>
      </c>
      <c r="C25" s="27" t="s">
        <v>309</v>
      </c>
      <c r="D25" s="22">
        <v>40</v>
      </c>
      <c r="E25" s="22" t="s">
        <v>222</v>
      </c>
      <c r="F25" s="19" t="s">
        <v>57</v>
      </c>
      <c r="G25" s="19" t="s">
        <v>274</v>
      </c>
      <c r="H25" s="19">
        <v>227</v>
      </c>
      <c r="I25" s="19">
        <v>26023</v>
      </c>
      <c r="J25" s="34" t="s">
        <v>201</v>
      </c>
      <c r="K25" s="19">
        <v>16</v>
      </c>
      <c r="L25" s="134" t="s">
        <v>803</v>
      </c>
      <c r="M25" s="74" t="s">
        <v>804</v>
      </c>
    </row>
    <row r="26" spans="1:13" s="2" customFormat="1" ht="38.25" customHeight="1" x14ac:dyDescent="0.2">
      <c r="A26" s="130" t="s">
        <v>812</v>
      </c>
      <c r="B26" s="131" t="s">
        <v>76</v>
      </c>
      <c r="C26" s="27" t="s">
        <v>813</v>
      </c>
      <c r="D26" s="22">
        <v>10</v>
      </c>
      <c r="E26" s="22" t="s">
        <v>222</v>
      </c>
      <c r="F26" s="19" t="s">
        <v>53</v>
      </c>
      <c r="G26" s="19" t="s">
        <v>60</v>
      </c>
      <c r="H26" s="19">
        <v>78</v>
      </c>
      <c r="I26" s="19">
        <v>28586</v>
      </c>
      <c r="J26" s="34" t="s">
        <v>201</v>
      </c>
      <c r="K26" s="19">
        <v>16</v>
      </c>
      <c r="L26" s="132" t="s">
        <v>801</v>
      </c>
      <c r="M26" s="74" t="s">
        <v>802</v>
      </c>
    </row>
    <row r="27" spans="1:13" s="2" customFormat="1" ht="38.25" customHeight="1" x14ac:dyDescent="0.2">
      <c r="A27" s="130" t="s">
        <v>127</v>
      </c>
      <c r="B27" s="131" t="s">
        <v>76</v>
      </c>
      <c r="C27" s="27" t="s">
        <v>814</v>
      </c>
      <c r="D27" s="22">
        <v>100</v>
      </c>
      <c r="E27" s="22" t="s">
        <v>222</v>
      </c>
      <c r="F27" s="19" t="s">
        <v>3</v>
      </c>
      <c r="G27" s="19" t="s">
        <v>472</v>
      </c>
      <c r="H27" s="19">
        <v>31</v>
      </c>
      <c r="I27" s="19">
        <v>31917</v>
      </c>
      <c r="J27" s="34" t="s">
        <v>210</v>
      </c>
      <c r="K27" s="19">
        <v>32</v>
      </c>
      <c r="L27" s="135" t="s">
        <v>807</v>
      </c>
      <c r="M27" s="136" t="s">
        <v>815</v>
      </c>
    </row>
    <row r="28" spans="1:13" s="2" customFormat="1" ht="38.25" customHeight="1" x14ac:dyDescent="0.2">
      <c r="A28" s="130" t="s">
        <v>128</v>
      </c>
      <c r="B28" s="133">
        <v>2000</v>
      </c>
      <c r="C28" s="27" t="s">
        <v>311</v>
      </c>
      <c r="D28" s="22">
        <v>80</v>
      </c>
      <c r="E28" s="22" t="s">
        <v>222</v>
      </c>
      <c r="F28" s="19" t="s">
        <v>3</v>
      </c>
      <c r="G28" s="19" t="s">
        <v>267</v>
      </c>
      <c r="H28" s="19">
        <v>163</v>
      </c>
      <c r="I28" s="19">
        <v>26048</v>
      </c>
      <c r="J28" s="34" t="s">
        <v>209</v>
      </c>
      <c r="K28" s="19">
        <v>16</v>
      </c>
      <c r="L28" s="132" t="s">
        <v>801</v>
      </c>
      <c r="M28" s="74" t="s">
        <v>802</v>
      </c>
    </row>
    <row r="29" spans="1:13" s="2" customFormat="1" ht="38.25" customHeight="1" x14ac:dyDescent="0.2">
      <c r="A29" s="130" t="s">
        <v>129</v>
      </c>
      <c r="B29" s="133">
        <v>2000</v>
      </c>
      <c r="C29" s="27" t="s">
        <v>816</v>
      </c>
      <c r="D29" s="22">
        <v>70</v>
      </c>
      <c r="E29" s="22" t="s">
        <v>222</v>
      </c>
      <c r="F29" s="19" t="s">
        <v>3</v>
      </c>
      <c r="G29" s="19" t="s">
        <v>270</v>
      </c>
      <c r="H29" s="19">
        <v>192</v>
      </c>
      <c r="I29" s="19">
        <v>26032</v>
      </c>
      <c r="J29" s="34" t="s">
        <v>201</v>
      </c>
      <c r="K29" s="19">
        <v>16</v>
      </c>
      <c r="L29" s="132" t="s">
        <v>801</v>
      </c>
      <c r="M29" s="74" t="s">
        <v>802</v>
      </c>
    </row>
    <row r="30" spans="1:13" s="2" customFormat="1" ht="38.25" customHeight="1" x14ac:dyDescent="0.2">
      <c r="A30" s="130" t="s">
        <v>130</v>
      </c>
      <c r="B30" s="133">
        <v>2000</v>
      </c>
      <c r="C30" s="27" t="s">
        <v>313</v>
      </c>
      <c r="D30" s="22">
        <v>80</v>
      </c>
      <c r="E30" s="22" t="s">
        <v>222</v>
      </c>
      <c r="F30" s="19" t="s">
        <v>3</v>
      </c>
      <c r="G30" s="19" t="s">
        <v>267</v>
      </c>
      <c r="H30" s="19">
        <v>162</v>
      </c>
      <c r="I30" s="19">
        <v>26033</v>
      </c>
      <c r="J30" s="34" t="s">
        <v>201</v>
      </c>
      <c r="K30" s="19">
        <v>16</v>
      </c>
      <c r="L30" s="132" t="s">
        <v>801</v>
      </c>
      <c r="M30" s="74" t="s">
        <v>802</v>
      </c>
    </row>
    <row r="31" spans="1:13" s="2" customFormat="1" ht="38.25" hidden="1" customHeight="1" x14ac:dyDescent="0.2">
      <c r="A31" s="130" t="s">
        <v>131</v>
      </c>
      <c r="B31" s="133">
        <v>2000</v>
      </c>
      <c r="C31" s="27" t="s">
        <v>314</v>
      </c>
      <c r="D31" s="22">
        <v>81</v>
      </c>
      <c r="E31" s="22" t="s">
        <v>222</v>
      </c>
      <c r="F31" s="19" t="s">
        <v>3</v>
      </c>
      <c r="G31" s="19" t="s">
        <v>267</v>
      </c>
      <c r="H31" s="19">
        <v>158</v>
      </c>
      <c r="I31" s="19">
        <v>26029</v>
      </c>
      <c r="J31" s="34" t="s">
        <v>201</v>
      </c>
      <c r="K31" s="19">
        <v>16</v>
      </c>
      <c r="L31" s="134" t="s">
        <v>803</v>
      </c>
      <c r="M31" s="74" t="s">
        <v>804</v>
      </c>
    </row>
    <row r="32" spans="1:13" s="2" customFormat="1" ht="38.25" customHeight="1" x14ac:dyDescent="0.2">
      <c r="A32" s="130" t="s">
        <v>132</v>
      </c>
      <c r="B32" s="137" t="s">
        <v>416</v>
      </c>
      <c r="C32" s="27" t="s">
        <v>817</v>
      </c>
      <c r="D32" s="22" t="s">
        <v>195</v>
      </c>
      <c r="E32" s="22" t="s">
        <v>222</v>
      </c>
      <c r="F32" s="19" t="s">
        <v>57</v>
      </c>
      <c r="G32" s="19" t="s">
        <v>242</v>
      </c>
      <c r="H32" s="19">
        <v>129</v>
      </c>
      <c r="I32" s="33">
        <v>46986</v>
      </c>
      <c r="J32" s="34" t="s">
        <v>515</v>
      </c>
      <c r="K32" s="19">
        <v>16</v>
      </c>
      <c r="L32" s="132" t="s">
        <v>801</v>
      </c>
      <c r="M32" s="136" t="s">
        <v>810</v>
      </c>
    </row>
    <row r="33" spans="1:13" s="2" customFormat="1" ht="38.25" customHeight="1" x14ac:dyDescent="0.2">
      <c r="A33" s="130" t="s">
        <v>133</v>
      </c>
      <c r="B33" s="140" t="s">
        <v>76</v>
      </c>
      <c r="C33" s="27" t="s">
        <v>317</v>
      </c>
      <c r="D33" s="22">
        <v>30</v>
      </c>
      <c r="E33" s="22" t="s">
        <v>222</v>
      </c>
      <c r="F33" s="19" t="s">
        <v>57</v>
      </c>
      <c r="G33" s="19" t="s">
        <v>275</v>
      </c>
      <c r="H33" s="19">
        <v>221</v>
      </c>
      <c r="I33" s="19">
        <v>31584</v>
      </c>
      <c r="J33" s="34" t="s">
        <v>210</v>
      </c>
      <c r="K33" s="19">
        <v>16</v>
      </c>
      <c r="L33" s="132" t="s">
        <v>801</v>
      </c>
      <c r="M33" s="74" t="s">
        <v>802</v>
      </c>
    </row>
    <row r="34" spans="1:13" s="2" customFormat="1" ht="38.25" hidden="1" customHeight="1" x14ac:dyDescent="0.2">
      <c r="A34" s="130" t="s">
        <v>134</v>
      </c>
      <c r="B34" s="133">
        <v>2000</v>
      </c>
      <c r="C34" s="27" t="s">
        <v>318</v>
      </c>
      <c r="D34" s="22">
        <v>80</v>
      </c>
      <c r="E34" s="22" t="s">
        <v>222</v>
      </c>
      <c r="F34" s="19" t="s">
        <v>3</v>
      </c>
      <c r="G34" s="19" t="s">
        <v>266</v>
      </c>
      <c r="H34" s="19">
        <v>155</v>
      </c>
      <c r="I34" s="19">
        <v>25899</v>
      </c>
      <c r="J34" s="34" t="s">
        <v>201</v>
      </c>
      <c r="K34" s="19">
        <v>16</v>
      </c>
      <c r="L34" s="134" t="s">
        <v>803</v>
      </c>
      <c r="M34" s="74" t="s">
        <v>804</v>
      </c>
    </row>
    <row r="35" spans="1:13" s="2" customFormat="1" ht="38.25" hidden="1" customHeight="1" x14ac:dyDescent="0.2">
      <c r="A35" s="130" t="s">
        <v>135</v>
      </c>
      <c r="B35" s="133">
        <v>2000</v>
      </c>
      <c r="C35" s="27" t="s">
        <v>319</v>
      </c>
      <c r="D35" s="22">
        <v>80</v>
      </c>
      <c r="E35" s="22" t="s">
        <v>222</v>
      </c>
      <c r="F35" s="19" t="s">
        <v>3</v>
      </c>
      <c r="G35" s="19" t="s">
        <v>266</v>
      </c>
      <c r="H35" s="19">
        <v>154</v>
      </c>
      <c r="I35" s="19">
        <v>25895</v>
      </c>
      <c r="J35" s="34" t="s">
        <v>201</v>
      </c>
      <c r="K35" s="19">
        <v>16</v>
      </c>
      <c r="L35" s="134" t="s">
        <v>803</v>
      </c>
      <c r="M35" s="74" t="s">
        <v>804</v>
      </c>
    </row>
    <row r="36" spans="1:13" s="2" customFormat="1" ht="38.25" hidden="1" customHeight="1" x14ac:dyDescent="0.2">
      <c r="A36" s="130" t="s">
        <v>136</v>
      </c>
      <c r="B36" s="141" t="s">
        <v>65</v>
      </c>
      <c r="C36" s="27" t="s">
        <v>320</v>
      </c>
      <c r="D36" s="22" t="s">
        <v>195</v>
      </c>
      <c r="E36" s="22" t="s">
        <v>222</v>
      </c>
      <c r="F36" s="19" t="s">
        <v>57</v>
      </c>
      <c r="G36" s="19" t="s">
        <v>272</v>
      </c>
      <c r="H36" s="19">
        <v>230</v>
      </c>
      <c r="I36" s="19" t="s">
        <v>194</v>
      </c>
      <c r="J36" s="34" t="s">
        <v>288</v>
      </c>
      <c r="K36" s="19" t="s">
        <v>194</v>
      </c>
      <c r="L36" s="142" t="s">
        <v>818</v>
      </c>
      <c r="M36" s="74" t="s">
        <v>819</v>
      </c>
    </row>
    <row r="37" spans="1:13" s="2" customFormat="1" ht="38.25" customHeight="1" x14ac:dyDescent="0.2">
      <c r="A37" s="130" t="s">
        <v>137</v>
      </c>
      <c r="B37" s="139" t="s">
        <v>539</v>
      </c>
      <c r="C37" s="27" t="s">
        <v>299</v>
      </c>
      <c r="D37" s="22" t="s">
        <v>195</v>
      </c>
      <c r="E37" s="22" t="s">
        <v>222</v>
      </c>
      <c r="F37" s="19" t="s">
        <v>57</v>
      </c>
      <c r="G37" s="19" t="s">
        <v>273</v>
      </c>
      <c r="H37" s="19">
        <v>343</v>
      </c>
      <c r="I37" s="19">
        <v>47439</v>
      </c>
      <c r="J37" s="34" t="s">
        <v>548</v>
      </c>
      <c r="K37" s="19">
        <v>4</v>
      </c>
      <c r="L37" s="132" t="s">
        <v>801</v>
      </c>
      <c r="M37" s="74" t="s">
        <v>802</v>
      </c>
    </row>
    <row r="38" spans="1:13" s="2" customFormat="1" ht="38.25" hidden="1" customHeight="1" x14ac:dyDescent="0.2">
      <c r="A38" s="130" t="s">
        <v>138</v>
      </c>
      <c r="B38" s="141" t="s">
        <v>65</v>
      </c>
      <c r="C38" s="27" t="s">
        <v>820</v>
      </c>
      <c r="D38" s="22" t="s">
        <v>195</v>
      </c>
      <c r="E38" s="22" t="s">
        <v>222</v>
      </c>
      <c r="F38" s="19" t="s">
        <v>57</v>
      </c>
      <c r="G38" s="19" t="s">
        <v>158</v>
      </c>
      <c r="H38" s="19">
        <v>186</v>
      </c>
      <c r="I38" s="19" t="s">
        <v>194</v>
      </c>
      <c r="J38" s="34" t="s">
        <v>288</v>
      </c>
      <c r="K38" s="19" t="s">
        <v>194</v>
      </c>
      <c r="L38" s="142" t="s">
        <v>818</v>
      </c>
      <c r="M38" s="74" t="s">
        <v>819</v>
      </c>
    </row>
    <row r="39" spans="1:13" s="2" customFormat="1" ht="38.25" customHeight="1" x14ac:dyDescent="0.2">
      <c r="A39" s="130" t="s">
        <v>276</v>
      </c>
      <c r="B39" s="131" t="s">
        <v>76</v>
      </c>
      <c r="C39" s="27" t="s">
        <v>322</v>
      </c>
      <c r="D39" s="22" t="s">
        <v>195</v>
      </c>
      <c r="E39" s="22" t="s">
        <v>222</v>
      </c>
      <c r="F39" s="19" t="s">
        <v>57</v>
      </c>
      <c r="G39" s="19" t="s">
        <v>272</v>
      </c>
      <c r="H39" s="19">
        <v>222</v>
      </c>
      <c r="I39" s="19">
        <v>33974</v>
      </c>
      <c r="J39" s="34" t="s">
        <v>289</v>
      </c>
      <c r="K39" s="19">
        <v>16</v>
      </c>
      <c r="L39" s="132" t="s">
        <v>801</v>
      </c>
      <c r="M39" s="74" t="s">
        <v>802</v>
      </c>
    </row>
    <row r="40" spans="1:13" s="2" customFormat="1" ht="38.25" customHeight="1" x14ac:dyDescent="0.2">
      <c r="A40" s="130" t="s">
        <v>412</v>
      </c>
      <c r="B40" s="131" t="s">
        <v>76</v>
      </c>
      <c r="C40" s="27" t="s">
        <v>821</v>
      </c>
      <c r="D40" s="22">
        <v>80</v>
      </c>
      <c r="E40" s="22" t="s">
        <v>390</v>
      </c>
      <c r="F40" s="19" t="s">
        <v>3</v>
      </c>
      <c r="G40" s="19" t="s">
        <v>413</v>
      </c>
      <c r="H40" s="19">
        <v>34</v>
      </c>
      <c r="I40" s="19">
        <v>29797</v>
      </c>
      <c r="J40" s="34" t="s">
        <v>210</v>
      </c>
      <c r="K40" s="19">
        <v>16</v>
      </c>
      <c r="L40" s="135" t="s">
        <v>805</v>
      </c>
      <c r="M40" s="136" t="s">
        <v>822</v>
      </c>
    </row>
    <row r="41" spans="1:13" s="2" customFormat="1" ht="38.25" customHeight="1" x14ac:dyDescent="0.2">
      <c r="A41" s="130" t="s">
        <v>418</v>
      </c>
      <c r="B41" s="131" t="s">
        <v>76</v>
      </c>
      <c r="C41" s="27" t="s">
        <v>814</v>
      </c>
      <c r="D41" s="22">
        <v>110</v>
      </c>
      <c r="E41" s="22" t="s">
        <v>222</v>
      </c>
      <c r="F41" s="19" t="s">
        <v>3</v>
      </c>
      <c r="G41" s="19" t="s">
        <v>422</v>
      </c>
      <c r="H41" s="19">
        <v>99</v>
      </c>
      <c r="I41" s="22">
        <v>33917</v>
      </c>
      <c r="J41" s="34" t="s">
        <v>210</v>
      </c>
      <c r="K41" s="19">
        <v>32</v>
      </c>
      <c r="L41" s="132" t="s">
        <v>801</v>
      </c>
      <c r="M41" s="74" t="s">
        <v>802</v>
      </c>
    </row>
    <row r="42" spans="1:13" s="2" customFormat="1" ht="38.25" customHeight="1" x14ac:dyDescent="0.2">
      <c r="A42" s="130" t="s">
        <v>475</v>
      </c>
      <c r="B42" s="131" t="s">
        <v>76</v>
      </c>
      <c r="C42" s="27" t="s">
        <v>335</v>
      </c>
      <c r="D42" s="27" t="s">
        <v>198</v>
      </c>
      <c r="E42" s="22" t="s">
        <v>222</v>
      </c>
      <c r="F42" s="19" t="s">
        <v>3</v>
      </c>
      <c r="G42" s="19" t="s">
        <v>258</v>
      </c>
      <c r="H42" s="19">
        <v>135</v>
      </c>
      <c r="I42" s="19">
        <v>29790</v>
      </c>
      <c r="J42" s="34" t="s">
        <v>209</v>
      </c>
      <c r="K42" s="19">
        <v>16</v>
      </c>
      <c r="L42" s="135" t="s">
        <v>805</v>
      </c>
      <c r="M42" s="136" t="s">
        <v>823</v>
      </c>
    </row>
    <row r="43" spans="1:13" s="2" customFormat="1" ht="38.25" customHeight="1" x14ac:dyDescent="0.2">
      <c r="A43" s="130" t="s">
        <v>497</v>
      </c>
      <c r="B43" s="131" t="s">
        <v>76</v>
      </c>
      <c r="C43" s="27" t="s">
        <v>814</v>
      </c>
      <c r="D43" s="22">
        <v>120</v>
      </c>
      <c r="E43" s="22" t="s">
        <v>222</v>
      </c>
      <c r="F43" s="33" t="s">
        <v>3</v>
      </c>
      <c r="G43" s="33" t="s">
        <v>500</v>
      </c>
      <c r="H43" s="19">
        <v>106</v>
      </c>
      <c r="I43" s="19">
        <v>33975</v>
      </c>
      <c r="J43" s="34" t="s">
        <v>210</v>
      </c>
      <c r="K43" s="19">
        <v>16</v>
      </c>
      <c r="L43" s="132" t="s">
        <v>801</v>
      </c>
      <c r="M43" s="74" t="s">
        <v>802</v>
      </c>
    </row>
    <row r="44" spans="1:13" x14ac:dyDescent="0.2">
      <c r="I44" s="143"/>
    </row>
    <row r="45" spans="1:13" x14ac:dyDescent="0.2">
      <c r="I45" s="143"/>
    </row>
    <row r="47" spans="1:13" ht="19.5" customHeight="1" x14ac:dyDescent="0.2">
      <c r="C47" s="145" t="s">
        <v>824</v>
      </c>
      <c r="D47" s="312" t="s">
        <v>825</v>
      </c>
      <c r="E47" s="312"/>
      <c r="H47" s="312" t="s">
        <v>826</v>
      </c>
      <c r="I47" s="312"/>
    </row>
    <row r="48" spans="1:13" ht="6.75" customHeight="1" x14ac:dyDescent="0.2">
      <c r="C48" s="145"/>
      <c r="D48" s="146"/>
      <c r="E48" s="146"/>
    </row>
    <row r="49" spans="3:12" ht="18" customHeight="1" x14ac:dyDescent="0.2">
      <c r="C49" s="147" t="s">
        <v>827</v>
      </c>
      <c r="D49" s="310">
        <v>2</v>
      </c>
      <c r="E49" s="310"/>
      <c r="H49" s="313">
        <f>SUM(D49:E53)</f>
        <v>41</v>
      </c>
      <c r="I49" s="313"/>
      <c r="J49" s="148" t="s">
        <v>828</v>
      </c>
      <c r="L49" s="149" t="s">
        <v>829</v>
      </c>
    </row>
    <row r="50" spans="3:12" ht="18" customHeight="1" x14ac:dyDescent="0.2">
      <c r="C50" s="150" t="s">
        <v>830</v>
      </c>
      <c r="D50" s="310">
        <v>16</v>
      </c>
      <c r="E50" s="310"/>
      <c r="L50" s="149" t="s">
        <v>831</v>
      </c>
    </row>
    <row r="51" spans="3:12" ht="18" customHeight="1" x14ac:dyDescent="0.2">
      <c r="C51" s="151" t="s">
        <v>832</v>
      </c>
      <c r="D51" s="310">
        <v>2</v>
      </c>
      <c r="E51" s="310"/>
    </row>
    <row r="52" spans="3:12" ht="18" customHeight="1" x14ac:dyDescent="0.2">
      <c r="C52" s="152" t="s">
        <v>833</v>
      </c>
      <c r="D52" s="310">
        <v>19</v>
      </c>
      <c r="E52" s="310"/>
      <c r="F52" s="153" t="s">
        <v>834</v>
      </c>
    </row>
    <row r="53" spans="3:12" ht="18" customHeight="1" x14ac:dyDescent="0.2">
      <c r="C53" s="154" t="s">
        <v>835</v>
      </c>
      <c r="D53" s="310">
        <v>2</v>
      </c>
      <c r="E53" s="310"/>
      <c r="F53" s="82" t="s">
        <v>818</v>
      </c>
    </row>
    <row r="54" spans="3:12" x14ac:dyDescent="0.2">
      <c r="C54" s="155"/>
    </row>
    <row r="58" spans="3:12" ht="23.25" x14ac:dyDescent="0.35">
      <c r="C58" s="156"/>
      <c r="D58" s="315"/>
      <c r="E58" s="315"/>
    </row>
    <row r="59" spans="3:12" ht="6.75" customHeight="1" x14ac:dyDescent="0.35">
      <c r="C59" s="156"/>
      <c r="D59" s="157"/>
      <c r="E59" s="157"/>
    </row>
    <row r="60" spans="3:12" ht="18" customHeight="1" x14ac:dyDescent="0.2">
      <c r="C60" s="158"/>
      <c r="D60" s="314"/>
      <c r="E60" s="314"/>
    </row>
    <row r="61" spans="3:12" ht="18" customHeight="1" x14ac:dyDescent="0.2">
      <c r="C61" s="158"/>
      <c r="D61" s="314"/>
      <c r="E61" s="314"/>
    </row>
    <row r="62" spans="3:12" ht="18" customHeight="1" x14ac:dyDescent="0.2">
      <c r="C62" s="158"/>
      <c r="D62" s="314"/>
      <c r="E62" s="314"/>
    </row>
    <row r="63" spans="3:12" ht="18" customHeight="1" x14ac:dyDescent="0.2">
      <c r="C63" s="158"/>
      <c r="D63" s="314"/>
      <c r="E63" s="314"/>
    </row>
    <row r="64" spans="3:12" ht="18" customHeight="1" x14ac:dyDescent="0.2">
      <c r="C64" s="158"/>
      <c r="D64" s="157"/>
      <c r="E64" s="157"/>
    </row>
    <row r="65" spans="3:5" x14ac:dyDescent="0.2">
      <c r="C65" s="159"/>
      <c r="D65" s="157"/>
      <c r="E65" s="157"/>
    </row>
  </sheetData>
  <autoFilter ref="A1:L43" xr:uid="{00000000-0009-0000-0000-000002000000}">
    <filterColumn colId="5" showButton="0"/>
    <filterColumn colId="11">
      <filters>
        <filter val="eingelagert"/>
        <filter val="im Einsatz"/>
        <filter val="stehen lassen"/>
      </filters>
    </filterColumn>
  </autoFilter>
  <mergeCells count="25">
    <mergeCell ref="D63:E63"/>
    <mergeCell ref="D52:E52"/>
    <mergeCell ref="D53:E53"/>
    <mergeCell ref="D58:E58"/>
    <mergeCell ref="D60:E60"/>
    <mergeCell ref="D61:E61"/>
    <mergeCell ref="D62:E62"/>
    <mergeCell ref="D51:E51"/>
    <mergeCell ref="H1:H2"/>
    <mergeCell ref="I1:I2"/>
    <mergeCell ref="J1:J2"/>
    <mergeCell ref="K1:K2"/>
    <mergeCell ref="D47:E47"/>
    <mergeCell ref="H47:I47"/>
    <mergeCell ref="D49:E49"/>
    <mergeCell ref="H49:I49"/>
    <mergeCell ref="D50:E50"/>
    <mergeCell ref="L1:L2"/>
    <mergeCell ref="M1:M2"/>
    <mergeCell ref="A1:A2"/>
    <mergeCell ref="B1:B2"/>
    <mergeCell ref="C1:C2"/>
    <mergeCell ref="D1:D2"/>
    <mergeCell ref="E1:E2"/>
    <mergeCell ref="F1:G1"/>
  </mergeCells>
  <pageMargins left="0.70866141732283472" right="0.70866141732283472" top="0.74803149606299213" bottom="0.74803149606299213" header="0.31496062992125984" footer="0.31496062992125984"/>
  <pageSetup paperSize="9" scale="65" fitToHeight="2" orientation="portrait" r:id="rId1"/>
  <headerFooter alignWithMargins="0">
    <oddHeader xml:space="preserve">&amp;C&amp;"Arial,Fett"&amp;16Handmessplätze </oddHeader>
    <oddFooter xml:space="preserve">&amp;L&amp;Z&amp;F&amp;CSeite &amp;P von &amp;N
&amp;R&amp;D
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6</vt:i4>
      </vt:variant>
    </vt:vector>
  </HeadingPairs>
  <TitlesOfParts>
    <vt:vector size="10" baseType="lpstr">
      <vt:lpstr>Handmessplätze 09.08.2023</vt:lpstr>
      <vt:lpstr>Post Prozess im Einsatz</vt:lpstr>
      <vt:lpstr>Handmessplätz &lt; 2019</vt:lpstr>
      <vt:lpstr>Handmessplätze MTX</vt:lpstr>
      <vt:lpstr>'Handmessplätz &lt; 2019'!Druckbereich</vt:lpstr>
      <vt:lpstr>'Handmessplätze 09.08.2023'!Druckbereich</vt:lpstr>
      <vt:lpstr>'Handmessplätze MTX'!Druckbereich</vt:lpstr>
      <vt:lpstr>'Handmessplätz &lt; 2019'!Drucktitel</vt:lpstr>
      <vt:lpstr>'Handmessplätze 09.08.2023'!Drucktitel</vt:lpstr>
      <vt:lpstr>'Handmessplätze MTX'!Drucktitel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SPC-Geräteliste_Gesamt</dc:title>
  <dc:creator>isummer@getrag-ford.com</dc:creator>
  <cp:lastModifiedBy>Sabo, Oliver (O.S.)</cp:lastModifiedBy>
  <cp:lastPrinted>2023-09-21T05:06:52Z</cp:lastPrinted>
  <dcterms:created xsi:type="dcterms:W3CDTF">2002-05-15T05:40:33Z</dcterms:created>
  <dcterms:modified xsi:type="dcterms:W3CDTF">2026-07-10T11:51:18Z</dcterms:modified>
</cp:coreProperties>
</file>